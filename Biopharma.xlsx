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DF4C1B2E-38E3-4749-9291-B7C1C01DD93B}" xr6:coauthVersionLast="47" xr6:coauthVersionMax="47" xr10:uidLastSave="{00000000-0000-0000-0000-000000000000}"/>
  <bookViews>
    <workbookView xWindow="160" yWindow="1310" windowWidth="20990" windowHeight="18600" xr2:uid="{17641224-F2C3-441B-B85B-BB32567FE633}"/>
  </bookViews>
  <sheets>
    <sheet name="Main" sheetId="1" r:id="rId1"/>
    <sheet name="China" sheetId="5" r:id="rId2"/>
    <sheet name="Drugs" sheetId="12" r:id="rId3"/>
    <sheet name="Industry Model" sheetId="9" r:id="rId4"/>
    <sheet name="Todo" sheetId="8" r:id="rId5"/>
    <sheet name="Launches" sheetId="6" r:id="rId6"/>
    <sheet name="FX" sheetId="2" r:id="rId7"/>
    <sheet name="Private" sheetId="3" r:id="rId8"/>
    <sheet name="Funds" sheetId="10" r:id="rId9"/>
    <sheet name="Acquisitions" sheetId="4" r:id="rId10"/>
    <sheet name="Mergers" sheetId="13" r:id="rId11"/>
    <sheet name="Bankruptcies" sheetId="11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</externalReferences>
  <definedNames>
    <definedName name="AUD">FX!$C$5</definedName>
    <definedName name="CHF">FX!$C$3</definedName>
    <definedName name="CNY">FX!$C$11</definedName>
    <definedName name="DKK">FX!$C$2</definedName>
    <definedName name="DKKUSD">#REF!</definedName>
    <definedName name="EUR">FX!$C$4</definedName>
    <definedName name="GBP">FX!$C$6</definedName>
    <definedName name="HKD">FX!$C$8</definedName>
    <definedName name="INR">FX!$C$10</definedName>
    <definedName name="JPY">FX!$C$7</definedName>
    <definedName name="KRW">FX!$C$9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7" i="1" l="1"/>
  <c r="D519" i="1"/>
  <c r="D507" i="1"/>
  <c r="D506" i="1"/>
  <c r="D482" i="1"/>
  <c r="D422" i="1"/>
  <c r="D415" i="1"/>
  <c r="D407" i="1"/>
  <c r="D388" i="1"/>
  <c r="D387" i="1"/>
  <c r="D384" i="1"/>
  <c r="D380" i="1"/>
  <c r="D371" i="1"/>
  <c r="D370" i="1"/>
  <c r="D364" i="1"/>
  <c r="D302" i="1"/>
  <c r="D298" i="1"/>
  <c r="D295" i="1"/>
  <c r="D293" i="1"/>
  <c r="D292" i="1"/>
  <c r="D291" i="1"/>
  <c r="D290" i="1"/>
  <c r="D289" i="1"/>
  <c r="I89" i="1"/>
  <c r="I88" i="1"/>
  <c r="L89" i="1"/>
  <c r="H89" i="1" s="1"/>
  <c r="L88" i="1"/>
  <c r="H88" i="1" s="1"/>
  <c r="J89" i="1" l="1"/>
  <c r="J88" i="1"/>
  <c r="I45" i="1" l="1"/>
  <c r="L45" i="1"/>
  <c r="H45" i="1" s="1"/>
  <c r="J45" i="1" l="1"/>
  <c r="I188" i="1" l="1"/>
  <c r="L188" i="1"/>
  <c r="H188" i="1" s="1"/>
  <c r="I108" i="1"/>
  <c r="L108" i="1"/>
  <c r="H108" i="1" s="1"/>
  <c r="K59" i="5"/>
  <c r="I59" i="5"/>
  <c r="J58" i="5"/>
  <c r="F58" i="5" s="1"/>
  <c r="G58" i="5"/>
  <c r="BE3" i="1"/>
  <c r="BF3" i="1" s="1"/>
  <c r="BG3" i="1" s="1"/>
  <c r="BH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KT3" i="1" s="1"/>
  <c r="AL4" i="1"/>
  <c r="I5" i="1"/>
  <c r="L5" i="1"/>
  <c r="H5" i="1" s="1"/>
  <c r="N5" i="1"/>
  <c r="O5" i="1" s="1"/>
  <c r="P5" i="1"/>
  <c r="Q5" i="1"/>
  <c r="R5" i="1"/>
  <c r="AO5" i="1"/>
  <c r="AP5" i="1"/>
  <c r="AQ5" i="1"/>
  <c r="AR5" i="1"/>
  <c r="I6" i="1"/>
  <c r="L6" i="1"/>
  <c r="H6" i="1" s="1"/>
  <c r="N6" i="1"/>
  <c r="O6" i="1" s="1"/>
  <c r="P6" i="1"/>
  <c r="Q6" i="1"/>
  <c r="R6" i="1"/>
  <c r="AO6" i="1"/>
  <c r="AP6" i="1"/>
  <c r="AQ6" i="1"/>
  <c r="AR6" i="1"/>
  <c r="I7" i="1"/>
  <c r="L7" i="1"/>
  <c r="H7" i="1" s="1"/>
  <c r="N7" i="1"/>
  <c r="O7" i="1" s="1"/>
  <c r="P7" i="1"/>
  <c r="Q7" i="1"/>
  <c r="R7" i="1"/>
  <c r="AO7" i="1"/>
  <c r="AP7" i="1"/>
  <c r="AQ7" i="1"/>
  <c r="AR7" i="1"/>
  <c r="I8" i="1"/>
  <c r="L8" i="1"/>
  <c r="H8" i="1" s="1"/>
  <c r="N8" i="1"/>
  <c r="O8" i="1" s="1"/>
  <c r="P8" i="1"/>
  <c r="Q8" i="1"/>
  <c r="R8" i="1"/>
  <c r="AO8" i="1"/>
  <c r="AP8" i="1"/>
  <c r="AQ8" i="1"/>
  <c r="AR8" i="1"/>
  <c r="I9" i="1"/>
  <c r="L9" i="1"/>
  <c r="H9" i="1" s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I10" i="1"/>
  <c r="L10" i="1"/>
  <c r="H10" i="1" s="1"/>
  <c r="I11" i="1"/>
  <c r="L11" i="1"/>
  <c r="H11" i="1" s="1"/>
  <c r="AP11" i="1"/>
  <c r="AQ11" i="1"/>
  <c r="I12" i="1"/>
  <c r="L12" i="1"/>
  <c r="H12" i="1" s="1"/>
  <c r="AO12" i="1"/>
  <c r="AP12" i="1"/>
  <c r="AQ12" i="1"/>
  <c r="AR12" i="1"/>
  <c r="I13" i="1"/>
  <c r="L13" i="1"/>
  <c r="H13" i="1" s="1"/>
  <c r="M13" i="1"/>
  <c r="I14" i="1"/>
  <c r="L14" i="1"/>
  <c r="H14" i="1" s="1"/>
  <c r="N14" i="1"/>
  <c r="O14" i="1" s="1"/>
  <c r="P14" i="1"/>
  <c r="Q14" i="1"/>
  <c r="R14" i="1"/>
  <c r="AO14" i="1"/>
  <c r="AP14" i="1"/>
  <c r="AQ14" i="1"/>
  <c r="AR14" i="1"/>
  <c r="I15" i="1"/>
  <c r="L15" i="1"/>
  <c r="H15" i="1" s="1"/>
  <c r="AO15" i="1"/>
  <c r="AP15" i="1"/>
  <c r="AQ15" i="1"/>
  <c r="AR15" i="1"/>
  <c r="I16" i="1"/>
  <c r="L16" i="1"/>
  <c r="H16" i="1" s="1"/>
  <c r="M16" i="1"/>
  <c r="N16" i="1"/>
  <c r="O16" i="1" s="1"/>
  <c r="P16" i="1"/>
  <c r="Q16" i="1"/>
  <c r="R16" i="1"/>
  <c r="I17" i="1"/>
  <c r="L17" i="1"/>
  <c r="H17" i="1" s="1"/>
  <c r="AO17" i="1"/>
  <c r="AP17" i="1"/>
  <c r="AQ17" i="1"/>
  <c r="AR17" i="1"/>
  <c r="I18" i="1"/>
  <c r="L18" i="1"/>
  <c r="H18" i="1" s="1"/>
  <c r="AO18" i="1"/>
  <c r="AP18" i="1"/>
  <c r="AQ18" i="1"/>
  <c r="AR18" i="1"/>
  <c r="I19" i="1"/>
  <c r="L19" i="1"/>
  <c r="H19" i="1" s="1"/>
  <c r="AO19" i="1"/>
  <c r="AP19" i="1"/>
  <c r="AQ19" i="1"/>
  <c r="AR19" i="1"/>
  <c r="I20" i="1"/>
  <c r="L20" i="1"/>
  <c r="H20" i="1" s="1"/>
  <c r="I21" i="1"/>
  <c r="I22" i="1"/>
  <c r="K22" i="1"/>
  <c r="M22" i="1"/>
  <c r="I23" i="1"/>
  <c r="L23" i="1"/>
  <c r="L22" i="1" s="1"/>
  <c r="H22" i="1" s="1"/>
  <c r="H24" i="1"/>
  <c r="I24" i="1"/>
  <c r="L24" i="1"/>
  <c r="N24" i="1"/>
  <c r="O24" i="1" s="1"/>
  <c r="P24" i="1"/>
  <c r="Q24" i="1"/>
  <c r="R24" i="1"/>
  <c r="AO24" i="1"/>
  <c r="AP24" i="1"/>
  <c r="AQ24" i="1"/>
  <c r="AR24" i="1"/>
  <c r="I25" i="1"/>
  <c r="L25" i="1"/>
  <c r="H25" i="1" s="1"/>
  <c r="I26" i="1"/>
  <c r="L26" i="1"/>
  <c r="H26" i="1" s="1"/>
  <c r="I27" i="1"/>
  <c r="L27" i="1"/>
  <c r="H27" i="1" s="1"/>
  <c r="M27" i="1"/>
  <c r="H28" i="1"/>
  <c r="I28" i="1"/>
  <c r="I29" i="1"/>
  <c r="L29" i="1"/>
  <c r="H29" i="1" s="1"/>
  <c r="I30" i="1"/>
  <c r="L30" i="1"/>
  <c r="H30" i="1" s="1"/>
  <c r="AO30" i="1"/>
  <c r="AP30" i="1"/>
  <c r="AQ30" i="1"/>
  <c r="AR30" i="1"/>
  <c r="I31" i="1"/>
  <c r="L31" i="1"/>
  <c r="H31" i="1" s="1"/>
  <c r="I32" i="1"/>
  <c r="L32" i="1"/>
  <c r="H32" i="1" s="1"/>
  <c r="I33" i="1"/>
  <c r="L33" i="1"/>
  <c r="H33" i="1" s="1"/>
  <c r="I34" i="1"/>
  <c r="L34" i="1"/>
  <c r="H34" i="1" s="1"/>
  <c r="AO34" i="1"/>
  <c r="AP34" i="1"/>
  <c r="AQ34" i="1"/>
  <c r="AR34" i="1"/>
  <c r="I35" i="1"/>
  <c r="L35" i="1"/>
  <c r="H35" i="1" s="1"/>
  <c r="I36" i="1"/>
  <c r="L36" i="1"/>
  <c r="H36" i="1" s="1"/>
  <c r="I37" i="1"/>
  <c r="L37" i="1"/>
  <c r="H37" i="1" s="1"/>
  <c r="I38" i="1"/>
  <c r="L38" i="1"/>
  <c r="H38" i="1" s="1"/>
  <c r="AO38" i="1"/>
  <c r="AP38" i="1"/>
  <c r="AQ38" i="1"/>
  <c r="AR38" i="1"/>
  <c r="I39" i="1"/>
  <c r="L39" i="1"/>
  <c r="H39" i="1" s="1"/>
  <c r="I40" i="1"/>
  <c r="L40" i="1"/>
  <c r="H40" i="1" s="1"/>
  <c r="AO40" i="1"/>
  <c r="AP40" i="1"/>
  <c r="AQ40" i="1"/>
  <c r="AR40" i="1"/>
  <c r="H41" i="1"/>
  <c r="I41" i="1"/>
  <c r="L41" i="1"/>
  <c r="AO41" i="1"/>
  <c r="AP41" i="1"/>
  <c r="AQ41" i="1"/>
  <c r="AR41" i="1"/>
  <c r="I42" i="1"/>
  <c r="L42" i="1"/>
  <c r="H42" i="1" s="1"/>
  <c r="I43" i="1"/>
  <c r="L43" i="1"/>
  <c r="H43" i="1" s="1"/>
  <c r="AO43" i="1"/>
  <c r="AP43" i="1"/>
  <c r="AQ43" i="1"/>
  <c r="AR43" i="1"/>
  <c r="I44" i="1"/>
  <c r="L44" i="1"/>
  <c r="H44" i="1" s="1"/>
  <c r="I46" i="1"/>
  <c r="L46" i="1"/>
  <c r="H46" i="1" s="1"/>
  <c r="I47" i="1"/>
  <c r="L47" i="1"/>
  <c r="H47" i="1" s="1"/>
  <c r="I48" i="1"/>
  <c r="L48" i="1"/>
  <c r="H48" i="1" s="1"/>
  <c r="AO48" i="1"/>
  <c r="AP48" i="1"/>
  <c r="AQ48" i="1"/>
  <c r="AR48" i="1"/>
  <c r="I49" i="1"/>
  <c r="L49" i="1"/>
  <c r="H49" i="1" s="1"/>
  <c r="I50" i="1"/>
  <c r="I51" i="1" s="1"/>
  <c r="L50" i="1"/>
  <c r="H50" i="1" s="1"/>
  <c r="L51" i="1"/>
  <c r="H51" i="1" s="1"/>
  <c r="M51" i="1"/>
  <c r="I52" i="1"/>
  <c r="L52" i="1"/>
  <c r="H52" i="1" s="1"/>
  <c r="AO52" i="1"/>
  <c r="AP52" i="1"/>
  <c r="AQ52" i="1"/>
  <c r="AR52" i="1"/>
  <c r="I53" i="1"/>
  <c r="L53" i="1"/>
  <c r="H53" i="1" s="1"/>
  <c r="AO53" i="1"/>
  <c r="AP53" i="1"/>
  <c r="AQ53" i="1"/>
  <c r="AR53" i="1"/>
  <c r="I54" i="1"/>
  <c r="L54" i="1"/>
  <c r="H54" i="1" s="1"/>
  <c r="I55" i="1"/>
  <c r="L55" i="1"/>
  <c r="H55" i="1" s="1"/>
  <c r="I56" i="1"/>
  <c r="L56" i="1"/>
  <c r="H56" i="1" s="1"/>
  <c r="N56" i="1"/>
  <c r="O56" i="1" s="1"/>
  <c r="P56" i="1"/>
  <c r="Q56" i="1"/>
  <c r="R56" i="1"/>
  <c r="I57" i="1"/>
  <c r="L57" i="1"/>
  <c r="H57" i="1" s="1"/>
  <c r="I58" i="1"/>
  <c r="L58" i="1"/>
  <c r="H58" i="1" s="1"/>
  <c r="I59" i="1"/>
  <c r="L59" i="1"/>
  <c r="H59" i="1" s="1"/>
  <c r="I60" i="1"/>
  <c r="L60" i="1"/>
  <c r="H60" i="1" s="1"/>
  <c r="I61" i="1"/>
  <c r="L61" i="1"/>
  <c r="H61" i="1" s="1"/>
  <c r="I62" i="1"/>
  <c r="L62" i="1"/>
  <c r="H62" i="1" s="1"/>
  <c r="I63" i="1"/>
  <c r="L63" i="1"/>
  <c r="H63" i="1" s="1"/>
  <c r="I64" i="1"/>
  <c r="L64" i="1"/>
  <c r="H64" i="1" s="1"/>
  <c r="I65" i="1"/>
  <c r="L65" i="1"/>
  <c r="H65" i="1" s="1"/>
  <c r="I66" i="1"/>
  <c r="L66" i="1"/>
  <c r="H66" i="1" s="1"/>
  <c r="I67" i="1"/>
  <c r="L67" i="1"/>
  <c r="H67" i="1" s="1"/>
  <c r="I68" i="1"/>
  <c r="L68" i="1"/>
  <c r="H68" i="1" s="1"/>
  <c r="I69" i="1"/>
  <c r="L69" i="1"/>
  <c r="H69" i="1" s="1"/>
  <c r="I70" i="1"/>
  <c r="L70" i="1"/>
  <c r="H70" i="1" s="1"/>
  <c r="I106" i="1"/>
  <c r="L106" i="1"/>
  <c r="H106" i="1" s="1"/>
  <c r="I71" i="1"/>
  <c r="L71" i="1"/>
  <c r="H71" i="1" s="1"/>
  <c r="I77" i="1"/>
  <c r="L77" i="1"/>
  <c r="H77" i="1" s="1"/>
  <c r="I81" i="1"/>
  <c r="L81" i="1"/>
  <c r="H81" i="1" s="1"/>
  <c r="I82" i="1"/>
  <c r="L82" i="1"/>
  <c r="H82" i="1" s="1"/>
  <c r="I152" i="1"/>
  <c r="L152" i="1"/>
  <c r="H152" i="1" s="1"/>
  <c r="I83" i="1"/>
  <c r="L83" i="1"/>
  <c r="H83" i="1" s="1"/>
  <c r="I137" i="1"/>
  <c r="L137" i="1"/>
  <c r="H137" i="1" s="1"/>
  <c r="I84" i="1"/>
  <c r="L84" i="1"/>
  <c r="H84" i="1" s="1"/>
  <c r="I85" i="1"/>
  <c r="L85" i="1"/>
  <c r="H85" i="1" s="1"/>
  <c r="I86" i="1"/>
  <c r="L86" i="1"/>
  <c r="H86" i="1" s="1"/>
  <c r="I90" i="1"/>
  <c r="L90" i="1"/>
  <c r="H90" i="1" s="1"/>
  <c r="I91" i="1"/>
  <c r="L91" i="1"/>
  <c r="H91" i="1" s="1"/>
  <c r="I157" i="1"/>
  <c r="L157" i="1"/>
  <c r="H157" i="1" s="1"/>
  <c r="I210" i="1"/>
  <c r="L210" i="1"/>
  <c r="H210" i="1" s="1"/>
  <c r="I100" i="1"/>
  <c r="L100" i="1"/>
  <c r="H100" i="1" s="1"/>
  <c r="I101" i="1"/>
  <c r="L101" i="1"/>
  <c r="H101" i="1" s="1"/>
  <c r="I127" i="1"/>
  <c r="L127" i="1"/>
  <c r="H127" i="1" s="1"/>
  <c r="I102" i="1"/>
  <c r="L102" i="1"/>
  <c r="H102" i="1" s="1"/>
  <c r="H105" i="1"/>
  <c r="J105" i="1" s="1"/>
  <c r="I138" i="1"/>
  <c r="L138" i="1"/>
  <c r="H138" i="1" s="1"/>
  <c r="I151" i="1"/>
  <c r="L151" i="1"/>
  <c r="H151" i="1" s="1"/>
  <c r="I140" i="1"/>
  <c r="L140" i="1"/>
  <c r="H140" i="1" s="1"/>
  <c r="I189" i="1"/>
  <c r="L189" i="1"/>
  <c r="H189" i="1" s="1"/>
  <c r="I191" i="1"/>
  <c r="L191" i="1"/>
  <c r="H191" i="1" s="1"/>
  <c r="N191" i="1"/>
  <c r="O191" i="1" s="1"/>
  <c r="P191" i="1"/>
  <c r="Q191" i="1"/>
  <c r="R191" i="1"/>
  <c r="I123" i="1"/>
  <c r="L123" i="1"/>
  <c r="H123" i="1" s="1"/>
  <c r="I203" i="1"/>
  <c r="L203" i="1"/>
  <c r="H203" i="1" s="1"/>
  <c r="I204" i="1"/>
  <c r="L204" i="1"/>
  <c r="H204" i="1" s="1"/>
  <c r="I205" i="1"/>
  <c r="L205" i="1"/>
  <c r="H205" i="1" s="1"/>
  <c r="I206" i="1"/>
  <c r="L206" i="1"/>
  <c r="H206" i="1" s="1"/>
  <c r="I143" i="1"/>
  <c r="L143" i="1"/>
  <c r="H143" i="1" s="1"/>
  <c r="I207" i="1"/>
  <c r="L207" i="1"/>
  <c r="H207" i="1" s="1"/>
  <c r="I208" i="1"/>
  <c r="L208" i="1"/>
  <c r="H208" i="1" s="1"/>
  <c r="I209" i="1"/>
  <c r="L209" i="1"/>
  <c r="H209" i="1" s="1"/>
  <c r="I177" i="1"/>
  <c r="L177" i="1"/>
  <c r="H177" i="1" s="1"/>
  <c r="I193" i="1"/>
  <c r="L193" i="1"/>
  <c r="H193" i="1" s="1"/>
  <c r="I211" i="1"/>
  <c r="L211" i="1"/>
  <c r="H211" i="1" s="1"/>
  <c r="I212" i="1"/>
  <c r="L212" i="1"/>
  <c r="H212" i="1" s="1"/>
  <c r="I213" i="1"/>
  <c r="L213" i="1"/>
  <c r="H213" i="1" s="1"/>
  <c r="I179" i="1"/>
  <c r="L179" i="1"/>
  <c r="H179" i="1" s="1"/>
  <c r="I214" i="1"/>
  <c r="L214" i="1"/>
  <c r="H214" i="1" s="1"/>
  <c r="I215" i="1"/>
  <c r="L215" i="1"/>
  <c r="H215" i="1" s="1"/>
  <c r="I216" i="1"/>
  <c r="L216" i="1"/>
  <c r="H216" i="1" s="1"/>
  <c r="H217" i="1"/>
  <c r="I217" i="1"/>
  <c r="I199" i="1"/>
  <c r="L199" i="1"/>
  <c r="H199" i="1" s="1"/>
  <c r="I190" i="1"/>
  <c r="L190" i="1"/>
  <c r="H190" i="1" s="1"/>
  <c r="I97" i="1"/>
  <c r="L97" i="1"/>
  <c r="H97" i="1" s="1"/>
  <c r="I112" i="1"/>
  <c r="L112" i="1"/>
  <c r="H112" i="1" s="1"/>
  <c r="I124" i="1"/>
  <c r="L124" i="1"/>
  <c r="H124" i="1" s="1"/>
  <c r="I142" i="1"/>
  <c r="L142" i="1"/>
  <c r="H142" i="1" s="1"/>
  <c r="I226" i="1"/>
  <c r="L226" i="1"/>
  <c r="H226" i="1" s="1"/>
  <c r="I227" i="1"/>
  <c r="L227" i="1"/>
  <c r="H227" i="1" s="1"/>
  <c r="I159" i="1"/>
  <c r="L159" i="1"/>
  <c r="H159" i="1" s="1"/>
  <c r="I228" i="1"/>
  <c r="L228" i="1"/>
  <c r="H228" i="1" s="1"/>
  <c r="I192" i="1"/>
  <c r="L192" i="1"/>
  <c r="H192" i="1" s="1"/>
  <c r="I229" i="1"/>
  <c r="L229" i="1"/>
  <c r="H229" i="1" s="1"/>
  <c r="I240" i="1"/>
  <c r="L240" i="1"/>
  <c r="H240" i="1" s="1"/>
  <c r="I247" i="1"/>
  <c r="L247" i="1"/>
  <c r="H247" i="1" s="1"/>
  <c r="I255" i="1"/>
  <c r="L255" i="1"/>
  <c r="H255" i="1" s="1"/>
  <c r="H262" i="1"/>
  <c r="I122" i="1"/>
  <c r="L122" i="1"/>
  <c r="H122" i="1" s="1"/>
  <c r="I104" i="1"/>
  <c r="L104" i="1"/>
  <c r="H104" i="1" s="1"/>
  <c r="H265" i="1"/>
  <c r="I265" i="1"/>
  <c r="I279" i="1"/>
  <c r="L279" i="1"/>
  <c r="H279" i="1" s="1"/>
  <c r="I280" i="1"/>
  <c r="L280" i="1"/>
  <c r="H280" i="1" s="1"/>
  <c r="I141" i="1"/>
  <c r="L141" i="1"/>
  <c r="H141" i="1" s="1"/>
  <c r="I281" i="1"/>
  <c r="L281" i="1"/>
  <c r="H281" i="1" s="1"/>
  <c r="I282" i="1"/>
  <c r="L282" i="1"/>
  <c r="H282" i="1" s="1"/>
  <c r="I283" i="1"/>
  <c r="L283" i="1"/>
  <c r="H283" i="1" s="1"/>
  <c r="I284" i="1"/>
  <c r="L284" i="1"/>
  <c r="H284" i="1" s="1"/>
  <c r="I291" i="1"/>
  <c r="L291" i="1"/>
  <c r="H291" i="1" s="1"/>
  <c r="I196" i="1"/>
  <c r="L196" i="1"/>
  <c r="H196" i="1" s="1"/>
  <c r="I298" i="1"/>
  <c r="L298" i="1"/>
  <c r="H298" i="1" s="1"/>
  <c r="I96" i="1"/>
  <c r="L96" i="1"/>
  <c r="H96" i="1" s="1"/>
  <c r="I162" i="1"/>
  <c r="L162" i="1"/>
  <c r="H162" i="1" s="1"/>
  <c r="H109" i="1"/>
  <c r="I109" i="1"/>
  <c r="I299" i="1"/>
  <c r="L299" i="1"/>
  <c r="H299" i="1" s="1"/>
  <c r="I300" i="1"/>
  <c r="L300" i="1"/>
  <c r="H300" i="1" s="1"/>
  <c r="I301" i="1"/>
  <c r="L301" i="1"/>
  <c r="H301" i="1" s="1"/>
  <c r="I182" i="1"/>
  <c r="L182" i="1"/>
  <c r="H182" i="1" s="1"/>
  <c r="I302" i="1"/>
  <c r="L302" i="1"/>
  <c r="H302" i="1" s="1"/>
  <c r="J303" i="1"/>
  <c r="I304" i="1"/>
  <c r="L304" i="1"/>
  <c r="H304" i="1" s="1"/>
  <c r="I305" i="1"/>
  <c r="L305" i="1"/>
  <c r="H305" i="1" s="1"/>
  <c r="I306" i="1"/>
  <c r="L306" i="1"/>
  <c r="H306" i="1" s="1"/>
  <c r="I307" i="1"/>
  <c r="L307" i="1"/>
  <c r="H307" i="1" s="1"/>
  <c r="I308" i="1"/>
  <c r="L308" i="1"/>
  <c r="H308" i="1" s="1"/>
  <c r="I309" i="1"/>
  <c r="L309" i="1"/>
  <c r="H309" i="1" s="1"/>
  <c r="I325" i="1"/>
  <c r="L325" i="1"/>
  <c r="H325" i="1" s="1"/>
  <c r="I326" i="1"/>
  <c r="L326" i="1"/>
  <c r="H326" i="1" s="1"/>
  <c r="I328" i="1"/>
  <c r="L328" i="1"/>
  <c r="H328" i="1" s="1"/>
  <c r="I347" i="1"/>
  <c r="L347" i="1"/>
  <c r="H347" i="1" s="1"/>
  <c r="I348" i="1"/>
  <c r="L348" i="1"/>
  <c r="H348" i="1" s="1"/>
  <c r="I349" i="1"/>
  <c r="L349" i="1"/>
  <c r="H349" i="1" s="1"/>
  <c r="I350" i="1"/>
  <c r="L350" i="1"/>
  <c r="H350" i="1" s="1"/>
  <c r="I351" i="1"/>
  <c r="L351" i="1"/>
  <c r="H351" i="1" s="1"/>
  <c r="I183" i="1"/>
  <c r="L183" i="1"/>
  <c r="H183" i="1" s="1"/>
  <c r="I352" i="1"/>
  <c r="L352" i="1"/>
  <c r="H352" i="1" s="1"/>
  <c r="I353" i="1"/>
  <c r="L353" i="1"/>
  <c r="H353" i="1" s="1"/>
  <c r="I354" i="1"/>
  <c r="L354" i="1"/>
  <c r="H354" i="1" s="1"/>
  <c r="I186" i="1"/>
  <c r="L186" i="1"/>
  <c r="H186" i="1" s="1"/>
  <c r="I355" i="1"/>
  <c r="L355" i="1"/>
  <c r="H355" i="1" s="1"/>
  <c r="I365" i="1"/>
  <c r="L365" i="1"/>
  <c r="H365" i="1" s="1"/>
  <c r="I386" i="1"/>
  <c r="L386" i="1"/>
  <c r="H386" i="1" s="1"/>
  <c r="I387" i="1"/>
  <c r="L387" i="1"/>
  <c r="H387" i="1" s="1"/>
  <c r="I405" i="1"/>
  <c r="L405" i="1"/>
  <c r="H405" i="1" s="1"/>
  <c r="I406" i="1"/>
  <c r="L406" i="1"/>
  <c r="H406" i="1" s="1"/>
  <c r="I185" i="1"/>
  <c r="L185" i="1"/>
  <c r="H185" i="1" s="1"/>
  <c r="I413" i="1"/>
  <c r="L413" i="1"/>
  <c r="H413" i="1" s="1"/>
  <c r="J414" i="1"/>
  <c r="L414" i="1"/>
  <c r="I421" i="1"/>
  <c r="L421" i="1"/>
  <c r="H421" i="1" s="1"/>
  <c r="I422" i="1"/>
  <c r="L422" i="1"/>
  <c r="H422" i="1" s="1"/>
  <c r="I444" i="1"/>
  <c r="L444" i="1"/>
  <c r="H444" i="1" s="1"/>
  <c r="I445" i="1"/>
  <c r="L445" i="1"/>
  <c r="H445" i="1" s="1"/>
  <c r="I446" i="1"/>
  <c r="L446" i="1"/>
  <c r="H446" i="1" s="1"/>
  <c r="I447" i="1"/>
  <c r="L447" i="1"/>
  <c r="H447" i="1" s="1"/>
  <c r="I448" i="1"/>
  <c r="L448" i="1"/>
  <c r="H448" i="1" s="1"/>
  <c r="I449" i="1"/>
  <c r="L449" i="1"/>
  <c r="H449" i="1" s="1"/>
  <c r="I450" i="1"/>
  <c r="L450" i="1"/>
  <c r="H450" i="1" s="1"/>
  <c r="I451" i="1"/>
  <c r="L451" i="1"/>
  <c r="H451" i="1" s="1"/>
  <c r="I453" i="1"/>
  <c r="L453" i="1"/>
  <c r="H453" i="1" s="1"/>
  <c r="I460" i="1"/>
  <c r="L460" i="1"/>
  <c r="H460" i="1" s="1"/>
  <c r="I462" i="1"/>
  <c r="L462" i="1"/>
  <c r="H462" i="1" s="1"/>
  <c r="I465" i="1"/>
  <c r="L465" i="1"/>
  <c r="H465" i="1" s="1"/>
  <c r="I467" i="1"/>
  <c r="L467" i="1"/>
  <c r="H467" i="1" s="1"/>
  <c r="I468" i="1"/>
  <c r="L468" i="1"/>
  <c r="H468" i="1" s="1"/>
  <c r="I472" i="1"/>
  <c r="L472" i="1"/>
  <c r="H472" i="1" s="1"/>
  <c r="H473" i="1"/>
  <c r="I473" i="1"/>
  <c r="L473" i="1"/>
  <c r="I477" i="1"/>
  <c r="L477" i="1"/>
  <c r="H477" i="1" s="1"/>
  <c r="I482" i="1"/>
  <c r="L482" i="1"/>
  <c r="H482" i="1" s="1"/>
  <c r="I485" i="1"/>
  <c r="L485" i="1"/>
  <c r="H485" i="1" s="1"/>
  <c r="I486" i="1"/>
  <c r="L486" i="1"/>
  <c r="H486" i="1" s="1"/>
  <c r="I487" i="1"/>
  <c r="L487" i="1"/>
  <c r="H487" i="1" s="1"/>
  <c r="I488" i="1"/>
  <c r="L488" i="1"/>
  <c r="H488" i="1" s="1"/>
  <c r="I500" i="1"/>
  <c r="L500" i="1"/>
  <c r="H500" i="1" s="1"/>
  <c r="I501" i="1"/>
  <c r="L501" i="1"/>
  <c r="H501" i="1" s="1"/>
  <c r="I502" i="1"/>
  <c r="L502" i="1"/>
  <c r="H502" i="1" s="1"/>
  <c r="I503" i="1"/>
  <c r="L503" i="1"/>
  <c r="H503" i="1" s="1"/>
  <c r="I504" i="1"/>
  <c r="L504" i="1"/>
  <c r="H504" i="1" s="1"/>
  <c r="I505" i="1"/>
  <c r="L505" i="1"/>
  <c r="H505" i="1" s="1"/>
  <c r="I506" i="1"/>
  <c r="L506" i="1"/>
  <c r="H506" i="1" s="1"/>
  <c r="L144" i="1"/>
  <c r="H144" i="1" s="1"/>
  <c r="I530" i="1"/>
  <c r="L530" i="1"/>
  <c r="H530" i="1" s="1"/>
  <c r="I533" i="1"/>
  <c r="L533" i="1"/>
  <c r="H533" i="1" s="1"/>
  <c r="I538" i="1"/>
  <c r="L538" i="1"/>
  <c r="H538" i="1" s="1"/>
  <c r="I539" i="1"/>
  <c r="L539" i="1"/>
  <c r="H539" i="1" s="1"/>
  <c r="H540" i="1"/>
  <c r="I540" i="1"/>
  <c r="H541" i="1"/>
  <c r="I541" i="1"/>
  <c r="J542" i="1"/>
  <c r="J543" i="1"/>
  <c r="I544" i="1"/>
  <c r="L544" i="1"/>
  <c r="H544" i="1" s="1"/>
  <c r="I563" i="1"/>
  <c r="L563" i="1"/>
  <c r="H563" i="1" s="1"/>
  <c r="I571" i="1"/>
  <c r="L571" i="1"/>
  <c r="H571" i="1" s="1"/>
  <c r="I586" i="1"/>
  <c r="L586" i="1"/>
  <c r="H586" i="1" s="1"/>
  <c r="I587" i="1"/>
  <c r="L587" i="1"/>
  <c r="H587" i="1" s="1"/>
  <c r="I588" i="1"/>
  <c r="L588" i="1"/>
  <c r="H588" i="1" s="1"/>
  <c r="I589" i="1"/>
  <c r="L589" i="1"/>
  <c r="H589" i="1" s="1"/>
  <c r="H594" i="1"/>
  <c r="I594" i="1"/>
  <c r="J10" i="5"/>
  <c r="F10" i="5" s="1"/>
  <c r="G10" i="5"/>
  <c r="J4" i="5"/>
  <c r="F4" i="5" s="1"/>
  <c r="G4" i="5"/>
  <c r="J18" i="5"/>
  <c r="F18" i="5" s="1"/>
  <c r="G18" i="5"/>
  <c r="J17" i="5"/>
  <c r="F17" i="5" s="1"/>
  <c r="G17" i="5"/>
  <c r="D45" i="1" l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J188" i="1"/>
  <c r="J482" i="1"/>
  <c r="J453" i="1"/>
  <c r="J501" i="1"/>
  <c r="J325" i="1"/>
  <c r="J447" i="1"/>
  <c r="J123" i="1"/>
  <c r="J108" i="1"/>
  <c r="J541" i="1"/>
  <c r="J122" i="1"/>
  <c r="J354" i="1"/>
  <c r="J226" i="1"/>
  <c r="J477" i="1"/>
  <c r="J40" i="1"/>
  <c r="J352" i="1"/>
  <c r="J183" i="1"/>
  <c r="J100" i="1"/>
  <c r="J16" i="1"/>
  <c r="J530" i="1"/>
  <c r="J472" i="1"/>
  <c r="J421" i="1"/>
  <c r="J350" i="1"/>
  <c r="J38" i="1"/>
  <c r="J157" i="1"/>
  <c r="J68" i="1"/>
  <c r="J54" i="1"/>
  <c r="J91" i="1"/>
  <c r="J283" i="1"/>
  <c r="J62" i="1"/>
  <c r="H58" i="5"/>
  <c r="J85" i="1"/>
  <c r="J211" i="1"/>
  <c r="J83" i="1"/>
  <c r="J61" i="1"/>
  <c r="J485" i="1"/>
  <c r="J281" i="1"/>
  <c r="J152" i="1"/>
  <c r="J589" i="1"/>
  <c r="J36" i="1"/>
  <c r="J18" i="1"/>
  <c r="J13" i="1"/>
  <c r="J451" i="1"/>
  <c r="J386" i="1"/>
  <c r="J309" i="1"/>
  <c r="J192" i="1"/>
  <c r="J214" i="1"/>
  <c r="J177" i="1"/>
  <c r="J486" i="1"/>
  <c r="J282" i="1"/>
  <c r="J353" i="1"/>
  <c r="J304" i="1"/>
  <c r="J142" i="1"/>
  <c r="J193" i="1"/>
  <c r="J22" i="1"/>
  <c r="J265" i="1"/>
  <c r="J81" i="1"/>
  <c r="J58" i="1"/>
  <c r="J60" i="1"/>
  <c r="J445" i="1"/>
  <c r="J500" i="1"/>
  <c r="J291" i="1"/>
  <c r="J90" i="1"/>
  <c r="J66" i="1"/>
  <c r="J10" i="1"/>
  <c r="J450" i="1"/>
  <c r="J162" i="1"/>
  <c r="J365" i="1"/>
  <c r="J308" i="1"/>
  <c r="J179" i="1"/>
  <c r="J488" i="1"/>
  <c r="J284" i="1"/>
  <c r="J42" i="1"/>
  <c r="J34" i="1"/>
  <c r="J448" i="1"/>
  <c r="J186" i="1"/>
  <c r="J306" i="1"/>
  <c r="J191" i="1"/>
  <c r="J468" i="1"/>
  <c r="J505" i="1"/>
  <c r="J544" i="1"/>
  <c r="J49" i="1"/>
  <c r="J302" i="1"/>
  <c r="J199" i="1"/>
  <c r="J143" i="1"/>
  <c r="J465" i="1"/>
  <c r="J185" i="1"/>
  <c r="J347" i="1"/>
  <c r="J101" i="1"/>
  <c r="J106" i="1"/>
  <c r="J216" i="1"/>
  <c r="J205" i="1"/>
  <c r="J406" i="1"/>
  <c r="J328" i="1"/>
  <c r="J70" i="1"/>
  <c r="J587" i="1"/>
  <c r="J503" i="1"/>
  <c r="J96" i="1"/>
  <c r="J247" i="1"/>
  <c r="J215" i="1"/>
  <c r="J204" i="1"/>
  <c r="J460" i="1"/>
  <c r="J405" i="1"/>
  <c r="J326" i="1"/>
  <c r="J210" i="1"/>
  <c r="J69" i="1"/>
  <c r="J37" i="1"/>
  <c r="J586" i="1"/>
  <c r="J502" i="1"/>
  <c r="J240" i="1"/>
  <c r="J203" i="1"/>
  <c r="J55" i="1"/>
  <c r="J44" i="1"/>
  <c r="J533" i="1"/>
  <c r="J182" i="1"/>
  <c r="J279" i="1"/>
  <c r="J112" i="1"/>
  <c r="J209" i="1"/>
  <c r="J351" i="1"/>
  <c r="J594" i="1"/>
  <c r="J109" i="1"/>
  <c r="J355" i="1"/>
  <c r="J307" i="1"/>
  <c r="J506" i="1"/>
  <c r="J349" i="1"/>
  <c r="J300" i="1"/>
  <c r="J9" i="1"/>
  <c r="J6" i="1"/>
  <c r="Z6" i="1" s="1"/>
  <c r="J467" i="1"/>
  <c r="J413" i="1"/>
  <c r="J102" i="1"/>
  <c r="J77" i="1"/>
  <c r="J57" i="1"/>
  <c r="J39" i="1"/>
  <c r="J48" i="1"/>
  <c r="J20" i="1"/>
  <c r="J446" i="1"/>
  <c r="J84" i="1"/>
  <c r="J63" i="1"/>
  <c r="J7" i="1"/>
  <c r="S7" i="1" s="1"/>
  <c r="J51" i="1"/>
  <c r="J97" i="1"/>
  <c r="J208" i="1"/>
  <c r="J151" i="1"/>
  <c r="J32" i="1"/>
  <c r="J14" i="1"/>
  <c r="J8" i="1"/>
  <c r="J588" i="1"/>
  <c r="J504" i="1"/>
  <c r="J104" i="1"/>
  <c r="J82" i="1"/>
  <c r="J59" i="1"/>
  <c r="J50" i="1"/>
  <c r="J24" i="1"/>
  <c r="J17" i="1"/>
  <c r="J462" i="1"/>
  <c r="J190" i="1"/>
  <c r="J207" i="1"/>
  <c r="J138" i="1"/>
  <c r="J449" i="1"/>
  <c r="J56" i="1"/>
  <c r="J47" i="1"/>
  <c r="J12" i="1"/>
  <c r="J25" i="1"/>
  <c r="J65" i="1"/>
  <c r="J19" i="1"/>
  <c r="J15" i="1"/>
  <c r="J538" i="1"/>
  <c r="J212" i="1"/>
  <c r="J53" i="1"/>
  <c r="J43" i="1"/>
  <c r="J35" i="1"/>
  <c r="T35" i="1" s="1"/>
  <c r="J67" i="1"/>
  <c r="J217" i="1"/>
  <c r="H23" i="1"/>
  <c r="J23" i="1" s="1"/>
  <c r="J206" i="1"/>
  <c r="J137" i="1"/>
  <c r="J64" i="1"/>
  <c r="J46" i="1"/>
  <c r="J31" i="1"/>
  <c r="J228" i="1"/>
  <c r="J539" i="1"/>
  <c r="J487" i="1"/>
  <c r="J301" i="1"/>
  <c r="J159" i="1"/>
  <c r="J29" i="1"/>
  <c r="J141" i="1"/>
  <c r="J28" i="1"/>
  <c r="J348" i="1"/>
  <c r="J473" i="1"/>
  <c r="J571" i="1"/>
  <c r="J422" i="1"/>
  <c r="J196" i="1"/>
  <c r="J189" i="1"/>
  <c r="J33" i="1"/>
  <c r="J387" i="1"/>
  <c r="J27" i="1"/>
  <c r="J127" i="1"/>
  <c r="AQ2" i="1"/>
  <c r="AP2" i="1"/>
  <c r="J124" i="1"/>
  <c r="J540" i="1"/>
  <c r="J280" i="1"/>
  <c r="J298" i="1"/>
  <c r="AO2" i="1"/>
  <c r="J26" i="1"/>
  <c r="J227" i="1"/>
  <c r="O2" i="1"/>
  <c r="J563" i="1"/>
  <c r="J86" i="1"/>
  <c r="J5" i="1"/>
  <c r="X5" i="1" s="1"/>
  <c r="J11" i="1"/>
  <c r="J41" i="1"/>
  <c r="J444" i="1"/>
  <c r="J229" i="1"/>
  <c r="J299" i="1"/>
  <c r="AR2" i="1"/>
  <c r="J305" i="1"/>
  <c r="J213" i="1"/>
  <c r="M2" i="1"/>
  <c r="L21" i="1"/>
  <c r="H21" i="1" s="1"/>
  <c r="J21" i="1" s="1"/>
  <c r="J140" i="1"/>
  <c r="J71" i="1"/>
  <c r="J52" i="1"/>
  <c r="J30" i="1"/>
  <c r="J255" i="1"/>
  <c r="H10" i="5"/>
  <c r="H4" i="5"/>
  <c r="H17" i="5"/>
  <c r="H18" i="5"/>
  <c r="S17" i="1" l="1"/>
  <c r="Z17" i="1"/>
  <c r="W17" i="1"/>
  <c r="AA17" i="1"/>
  <c r="Y17" i="1"/>
  <c r="X17" i="1"/>
  <c r="Y29" i="1"/>
  <c r="AA29" i="1"/>
  <c r="X29" i="1"/>
  <c r="Z29" i="1"/>
  <c r="W29" i="1"/>
  <c r="S8" i="1"/>
  <c r="AA8" i="1"/>
  <c r="Z8" i="1"/>
  <c r="Y8" i="1"/>
  <c r="X8" i="1"/>
  <c r="W8" i="1"/>
  <c r="S14" i="1"/>
  <c r="Y14" i="1"/>
  <c r="X14" i="1"/>
  <c r="W14" i="1"/>
  <c r="AA14" i="1"/>
  <c r="Z14" i="1"/>
  <c r="X21" i="1"/>
  <c r="Z21" i="1"/>
  <c r="W21" i="1"/>
  <c r="AA21" i="1"/>
  <c r="Y21" i="1"/>
  <c r="S18" i="1"/>
  <c r="W18" i="1"/>
  <c r="AA18" i="1"/>
  <c r="X18" i="1"/>
  <c r="Z18" i="1"/>
  <c r="Y18" i="1"/>
  <c r="W26" i="1"/>
  <c r="Y26" i="1"/>
  <c r="X26" i="1"/>
  <c r="AA26" i="1"/>
  <c r="Z26" i="1"/>
  <c r="Z15" i="1"/>
  <c r="AA15" i="1"/>
  <c r="X15" i="1"/>
  <c r="W15" i="1"/>
  <c r="Y15" i="1"/>
  <c r="V12" i="1"/>
  <c r="X12" i="1"/>
  <c r="AA12" i="1"/>
  <c r="Z12" i="1"/>
  <c r="Y12" i="1"/>
  <c r="W12" i="1"/>
  <c r="X38" i="1"/>
  <c r="AA38" i="1"/>
  <c r="W38" i="1"/>
  <c r="Z38" i="1"/>
  <c r="Y38" i="1"/>
  <c r="Z41" i="1"/>
  <c r="Y41" i="1"/>
  <c r="X41" i="1"/>
  <c r="AA41" i="1"/>
  <c r="W41" i="1"/>
  <c r="AA11" i="1"/>
  <c r="Z11" i="1"/>
  <c r="Y11" i="1"/>
  <c r="X11" i="1"/>
  <c r="W11" i="1"/>
  <c r="AA9" i="1"/>
  <c r="X9" i="1"/>
  <c r="Y9" i="1"/>
  <c r="Z9" i="1"/>
  <c r="W9" i="1"/>
  <c r="W28" i="1"/>
  <c r="AA28" i="1"/>
  <c r="Z28" i="1"/>
  <c r="Y28" i="1"/>
  <c r="X28" i="1"/>
  <c r="S24" i="1"/>
  <c r="Y24" i="1"/>
  <c r="X24" i="1"/>
  <c r="W24" i="1"/>
  <c r="AA24" i="1"/>
  <c r="Z24" i="1"/>
  <c r="AA22" i="1"/>
  <c r="W22" i="1"/>
  <c r="Z22" i="1"/>
  <c r="Y22" i="1"/>
  <c r="X22" i="1"/>
  <c r="AA48" i="1"/>
  <c r="Z48" i="1"/>
  <c r="X48" i="1"/>
  <c r="Y48" i="1"/>
  <c r="W48" i="1"/>
  <c r="V19" i="1"/>
  <c r="AA19" i="1"/>
  <c r="Z19" i="1"/>
  <c r="W19" i="1"/>
  <c r="Y19" i="1"/>
  <c r="X19" i="1"/>
  <c r="AA39" i="1"/>
  <c r="Z39" i="1"/>
  <c r="Z40" i="1"/>
  <c r="Y40" i="1"/>
  <c r="X40" i="1"/>
  <c r="AA40" i="1"/>
  <c r="W40" i="1"/>
  <c r="AA37" i="1"/>
  <c r="Y37" i="1"/>
  <c r="X37" i="1"/>
  <c r="Z37" i="1"/>
  <c r="W37" i="1"/>
  <c r="Z25" i="1"/>
  <c r="AA25" i="1"/>
  <c r="X25" i="1"/>
  <c r="V25" i="1"/>
  <c r="W25" i="1"/>
  <c r="Y25" i="1"/>
  <c r="AA30" i="1"/>
  <c r="Z30" i="1"/>
  <c r="Y30" i="1"/>
  <c r="X30" i="1"/>
  <c r="W30" i="1"/>
  <c r="H2" i="1"/>
  <c r="T18" i="1"/>
  <c r="V18" i="1"/>
  <c r="U18" i="1"/>
  <c r="U14" i="1"/>
  <c r="T14" i="1"/>
  <c r="V14" i="1"/>
  <c r="V17" i="1"/>
  <c r="Z7" i="1"/>
  <c r="V6" i="1"/>
  <c r="W6" i="1"/>
  <c r="S9" i="1"/>
  <c r="X6" i="1"/>
  <c r="Y7" i="1"/>
  <c r="T6" i="1"/>
  <c r="U17" i="1"/>
  <c r="AA6" i="1"/>
  <c r="T17" i="1"/>
  <c r="U9" i="1"/>
  <c r="T9" i="1"/>
  <c r="V9" i="1"/>
  <c r="S6" i="1"/>
  <c r="U6" i="1"/>
  <c r="Y6" i="1"/>
  <c r="T8" i="1"/>
  <c r="V8" i="1"/>
  <c r="U8" i="1"/>
  <c r="X7" i="1"/>
  <c r="U7" i="1"/>
  <c r="AA7" i="1"/>
  <c r="W7" i="1"/>
  <c r="U20" i="1"/>
  <c r="S20" i="1"/>
  <c r="T20" i="1"/>
  <c r="V20" i="1"/>
  <c r="V7" i="1"/>
  <c r="T7" i="1"/>
  <c r="S35" i="1"/>
  <c r="V24" i="1"/>
  <c r="U12" i="1"/>
  <c r="T12" i="1"/>
  <c r="S12" i="1"/>
  <c r="T24" i="1"/>
  <c r="S19" i="1"/>
  <c r="U19" i="1"/>
  <c r="U35" i="1"/>
  <c r="V35" i="1"/>
  <c r="U15" i="1"/>
  <c r="S15" i="1"/>
  <c r="V15" i="1"/>
  <c r="T15" i="1"/>
  <c r="U24" i="1"/>
  <c r="T19" i="1"/>
  <c r="V23" i="1"/>
  <c r="S21" i="1"/>
  <c r="T21" i="1"/>
  <c r="V21" i="1"/>
  <c r="U21" i="1"/>
  <c r="U11" i="1"/>
  <c r="V11" i="1"/>
  <c r="S5" i="1"/>
  <c r="T5" i="1"/>
  <c r="W5" i="1"/>
  <c r="AA5" i="1"/>
  <c r="Y5" i="1"/>
  <c r="Z5" i="1"/>
  <c r="V5" i="1"/>
  <c r="U5" i="1"/>
  <c r="L128" i="4"/>
  <c r="H128" i="4" s="1"/>
  <c r="I128" i="4"/>
  <c r="I127" i="4"/>
  <c r="L127" i="4"/>
  <c r="H127" i="4" s="1"/>
  <c r="I126" i="4"/>
  <c r="L126" i="4"/>
  <c r="H126" i="4" s="1"/>
  <c r="W4" i="1" l="1"/>
  <c r="X4" i="1"/>
  <c r="Z4" i="1"/>
  <c r="AA4" i="1"/>
  <c r="Y4" i="1"/>
  <c r="V4" i="1"/>
  <c r="T4" i="1"/>
  <c r="U4" i="1"/>
  <c r="S4" i="1"/>
  <c r="J126" i="4"/>
  <c r="J128" i="4"/>
  <c r="J127" i="4"/>
  <c r="I125" i="4"/>
  <c r="L125" i="4"/>
  <c r="H125" i="4" s="1"/>
  <c r="J125" i="4" l="1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H71" i="6"/>
  <c r="H76" i="6"/>
  <c r="P47" i="6"/>
  <c r="BO45" i="6"/>
  <c r="P45" i="6" s="1"/>
  <c r="BK45" i="6"/>
  <c r="O45" i="6" s="1"/>
  <c r="BG45" i="6"/>
  <c r="N45" i="6" s="1"/>
  <c r="BC45" i="6"/>
  <c r="M45" i="6" s="1"/>
  <c r="AY45" i="6"/>
  <c r="L45" i="6" s="1"/>
  <c r="AU45" i="6"/>
  <c r="K45" i="6" s="1"/>
  <c r="AQ45" i="6"/>
  <c r="H45" i="6" s="1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H66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H72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H74" i="6"/>
  <c r="DJ26" i="6"/>
  <c r="AB26" i="6" s="1"/>
  <c r="DF26" i="6"/>
  <c r="AA26" i="6" s="1"/>
  <c r="DB26" i="6"/>
  <c r="Z26" i="6" s="1"/>
  <c r="CX26" i="6"/>
  <c r="Y26" i="6" s="1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H41" i="6"/>
  <c r="CU51" i="6"/>
  <c r="X51" i="6" s="1"/>
  <c r="CQ51" i="6"/>
  <c r="W51" i="6" s="1"/>
  <c r="CM51" i="6"/>
  <c r="V51" i="6" s="1"/>
  <c r="CI51" i="6"/>
  <c r="U51" i="6" s="1"/>
  <c r="CE51" i="6"/>
  <c r="T51" i="6" s="1"/>
  <c r="AH51" i="6"/>
  <c r="AG51" i="6"/>
  <c r="AF51" i="6"/>
  <c r="AE51" i="6"/>
  <c r="AD51" i="6"/>
  <c r="AC51" i="6"/>
  <c r="AB51" i="6"/>
  <c r="AA51" i="6"/>
  <c r="Z51" i="6"/>
  <c r="Y51" i="6"/>
  <c r="S51" i="6"/>
  <c r="R51" i="6"/>
  <c r="Q51" i="6"/>
  <c r="P51" i="6"/>
  <c r="O51" i="6"/>
  <c r="N51" i="6"/>
  <c r="M51" i="6"/>
  <c r="L51" i="6"/>
  <c r="K51" i="6"/>
  <c r="J51" i="6"/>
  <c r="BV52" i="6"/>
  <c r="R52" i="6" s="1"/>
  <c r="AM21" i="6"/>
  <c r="AI21" i="6"/>
  <c r="AH75" i="6"/>
  <c r="AG75" i="6"/>
  <c r="AF75" i="6"/>
  <c r="AE75" i="6"/>
  <c r="AD75" i="6"/>
  <c r="AC75" i="6"/>
  <c r="AB75" i="6"/>
  <c r="AH63" i="6"/>
  <c r="AG63" i="6"/>
  <c r="AF63" i="6"/>
  <c r="AE63" i="6"/>
  <c r="AD63" i="6"/>
  <c r="AC63" i="6"/>
  <c r="AB63" i="6"/>
  <c r="AH73" i="6"/>
  <c r="AG73" i="6"/>
  <c r="AF73" i="6"/>
  <c r="AE73" i="6"/>
  <c r="AD73" i="6"/>
  <c r="AC73" i="6"/>
  <c r="AB73" i="6"/>
  <c r="AH70" i="6"/>
  <c r="AG70" i="6"/>
  <c r="AF70" i="6"/>
  <c r="AE70" i="6"/>
  <c r="AD70" i="6"/>
  <c r="AC70" i="6"/>
  <c r="AB70" i="6"/>
  <c r="AH21" i="6"/>
  <c r="AG21" i="6"/>
  <c r="AF21" i="6"/>
  <c r="AE21" i="6"/>
  <c r="AD21" i="6"/>
  <c r="AC21" i="6"/>
  <c r="AB21" i="6"/>
  <c r="AH69" i="6"/>
  <c r="AG69" i="6"/>
  <c r="AF69" i="6"/>
  <c r="AE69" i="6"/>
  <c r="AD69" i="6"/>
  <c r="AC69" i="6"/>
  <c r="AB69" i="6"/>
  <c r="AH68" i="6"/>
  <c r="AG68" i="6"/>
  <c r="AF68" i="6"/>
  <c r="AE68" i="6"/>
  <c r="AD68" i="6"/>
  <c r="AC68" i="6"/>
  <c r="AB68" i="6"/>
  <c r="AH67" i="6"/>
  <c r="AG67" i="6"/>
  <c r="AF67" i="6"/>
  <c r="AE67" i="6"/>
  <c r="AD67" i="6"/>
  <c r="AC67" i="6"/>
  <c r="AB67" i="6"/>
  <c r="AH65" i="6"/>
  <c r="AG65" i="6"/>
  <c r="AF65" i="6"/>
  <c r="AE65" i="6"/>
  <c r="AD65" i="6"/>
  <c r="AC65" i="6"/>
  <c r="AB65" i="6"/>
  <c r="AH59" i="6"/>
  <c r="AG59" i="6"/>
  <c r="AF59" i="6"/>
  <c r="AE59" i="6"/>
  <c r="AD59" i="6"/>
  <c r="AC59" i="6"/>
  <c r="AB59" i="6"/>
  <c r="AH64" i="6"/>
  <c r="AG64" i="6"/>
  <c r="AF64" i="6"/>
  <c r="AE64" i="6"/>
  <c r="AD64" i="6"/>
  <c r="AC64" i="6"/>
  <c r="AB64" i="6"/>
  <c r="AH62" i="6"/>
  <c r="AG62" i="6"/>
  <c r="AF62" i="6"/>
  <c r="AE62" i="6"/>
  <c r="AD62" i="6"/>
  <c r="AC62" i="6"/>
  <c r="AB62" i="6"/>
  <c r="AH61" i="6"/>
  <c r="AG61" i="6"/>
  <c r="AF61" i="6"/>
  <c r="AE61" i="6"/>
  <c r="AD61" i="6"/>
  <c r="AC61" i="6"/>
  <c r="AB61" i="6"/>
  <c r="AH57" i="6"/>
  <c r="AG57" i="6"/>
  <c r="AF57" i="6"/>
  <c r="AE57" i="6"/>
  <c r="AD57" i="6"/>
  <c r="AC57" i="6"/>
  <c r="AB57" i="6"/>
  <c r="AH60" i="6"/>
  <c r="AG60" i="6"/>
  <c r="AF60" i="6"/>
  <c r="AE60" i="6"/>
  <c r="AD60" i="6"/>
  <c r="AC60" i="6"/>
  <c r="AB60" i="6"/>
  <c r="AH58" i="6"/>
  <c r="AG58" i="6"/>
  <c r="AF58" i="6"/>
  <c r="AE58" i="6"/>
  <c r="AD58" i="6"/>
  <c r="AC58" i="6"/>
  <c r="AB58" i="6"/>
  <c r="AH54" i="6"/>
  <c r="AG54" i="6"/>
  <c r="AF54" i="6"/>
  <c r="AE54" i="6"/>
  <c r="AD54" i="6"/>
  <c r="AC54" i="6"/>
  <c r="AB54" i="6"/>
  <c r="AH56" i="6"/>
  <c r="AG56" i="6"/>
  <c r="AF56" i="6"/>
  <c r="AE56" i="6"/>
  <c r="AD56" i="6"/>
  <c r="AC56" i="6"/>
  <c r="AB56" i="6"/>
  <c r="AH52" i="6"/>
  <c r="AG52" i="6"/>
  <c r="AF52" i="6"/>
  <c r="AE52" i="6"/>
  <c r="AD52" i="6"/>
  <c r="AC52" i="6"/>
  <c r="AB52" i="6"/>
  <c r="AH55" i="6"/>
  <c r="AG55" i="6"/>
  <c r="AF55" i="6"/>
  <c r="AE55" i="6"/>
  <c r="AD55" i="6"/>
  <c r="AC55" i="6"/>
  <c r="AB55" i="6"/>
  <c r="AH48" i="6"/>
  <c r="AG48" i="6"/>
  <c r="AF48" i="6"/>
  <c r="AE48" i="6"/>
  <c r="AD48" i="6"/>
  <c r="AC48" i="6"/>
  <c r="AB48" i="6"/>
  <c r="AH53" i="6"/>
  <c r="AG53" i="6"/>
  <c r="AF53" i="6"/>
  <c r="AE53" i="6"/>
  <c r="AD53" i="6"/>
  <c r="AC53" i="6"/>
  <c r="AB53" i="6"/>
  <c r="AH43" i="6"/>
  <c r="AG43" i="6"/>
  <c r="AF43" i="6"/>
  <c r="AE43" i="6"/>
  <c r="AD43" i="6"/>
  <c r="AC43" i="6"/>
  <c r="AB43" i="6"/>
  <c r="AH50" i="6"/>
  <c r="AG50" i="6"/>
  <c r="AF50" i="6"/>
  <c r="AE50" i="6"/>
  <c r="AD50" i="6"/>
  <c r="AC50" i="6"/>
  <c r="AB50" i="6"/>
  <c r="AH49" i="6"/>
  <c r="AG49" i="6"/>
  <c r="AF49" i="6"/>
  <c r="AE49" i="6"/>
  <c r="AD49" i="6"/>
  <c r="AC49" i="6"/>
  <c r="AB49" i="6"/>
  <c r="AH47" i="6"/>
  <c r="AG47" i="6"/>
  <c r="AF47" i="6"/>
  <c r="AE47" i="6"/>
  <c r="AD47" i="6"/>
  <c r="AC47" i="6"/>
  <c r="AB47" i="6"/>
  <c r="AH46" i="6"/>
  <c r="AG46" i="6"/>
  <c r="AF46" i="6"/>
  <c r="AE46" i="6"/>
  <c r="AD46" i="6"/>
  <c r="AC46" i="6"/>
  <c r="AB46" i="6"/>
  <c r="AH44" i="6"/>
  <c r="AG44" i="6"/>
  <c r="AF44" i="6"/>
  <c r="AE44" i="6"/>
  <c r="AD44" i="6"/>
  <c r="AC44" i="6"/>
  <c r="AB44" i="6"/>
  <c r="AH42" i="6"/>
  <c r="AG42" i="6"/>
  <c r="AF42" i="6"/>
  <c r="AE42" i="6"/>
  <c r="AD42" i="6"/>
  <c r="AC42" i="6"/>
  <c r="AB42" i="6"/>
  <c r="AH40" i="6"/>
  <c r="AG40" i="6"/>
  <c r="AF40" i="6"/>
  <c r="AE40" i="6"/>
  <c r="AD40" i="6"/>
  <c r="AC40" i="6"/>
  <c r="AB40" i="6"/>
  <c r="AH39" i="6"/>
  <c r="AG39" i="6"/>
  <c r="AF39" i="6"/>
  <c r="AE39" i="6"/>
  <c r="AD39" i="6"/>
  <c r="AC39" i="6"/>
  <c r="AB39" i="6"/>
  <c r="AH38" i="6"/>
  <c r="AG38" i="6"/>
  <c r="AF38" i="6"/>
  <c r="AE38" i="6"/>
  <c r="AD38" i="6"/>
  <c r="AC38" i="6"/>
  <c r="AB38" i="6"/>
  <c r="AH37" i="6"/>
  <c r="AG37" i="6"/>
  <c r="AF37" i="6"/>
  <c r="AE37" i="6"/>
  <c r="AD37" i="6"/>
  <c r="AC37" i="6"/>
  <c r="AB37" i="6"/>
  <c r="AH36" i="6"/>
  <c r="AG36" i="6"/>
  <c r="AF36" i="6"/>
  <c r="AE36" i="6"/>
  <c r="AD36" i="6"/>
  <c r="AC36" i="6"/>
  <c r="AB36" i="6"/>
  <c r="AH26" i="6"/>
  <c r="AG26" i="6"/>
  <c r="AF26" i="6"/>
  <c r="AE26" i="6"/>
  <c r="AD26" i="6"/>
  <c r="AC26" i="6"/>
  <c r="AA75" i="6"/>
  <c r="Z75" i="6"/>
  <c r="Y75" i="6"/>
  <c r="X75" i="6"/>
  <c r="AA63" i="6"/>
  <c r="Z63" i="6"/>
  <c r="Y63" i="6"/>
  <c r="X63" i="6"/>
  <c r="AA73" i="6"/>
  <c r="Z73" i="6"/>
  <c r="Y73" i="6"/>
  <c r="X73" i="6"/>
  <c r="AA70" i="6"/>
  <c r="Z70" i="6"/>
  <c r="Y70" i="6"/>
  <c r="X70" i="6"/>
  <c r="AA21" i="6"/>
  <c r="Z21" i="6"/>
  <c r="Y21" i="6"/>
  <c r="X21" i="6"/>
  <c r="AA69" i="6"/>
  <c r="Z69" i="6"/>
  <c r="Y69" i="6"/>
  <c r="X69" i="6"/>
  <c r="AA68" i="6"/>
  <c r="Z68" i="6"/>
  <c r="Y68" i="6"/>
  <c r="X68" i="6"/>
  <c r="AA67" i="6"/>
  <c r="Z67" i="6"/>
  <c r="Y67" i="6"/>
  <c r="X67" i="6"/>
  <c r="AA65" i="6"/>
  <c r="Z65" i="6"/>
  <c r="Y65" i="6"/>
  <c r="X65" i="6"/>
  <c r="AA59" i="6"/>
  <c r="Z59" i="6"/>
  <c r="Y59" i="6"/>
  <c r="X59" i="6"/>
  <c r="AA64" i="6"/>
  <c r="Z64" i="6"/>
  <c r="Y64" i="6"/>
  <c r="X64" i="6"/>
  <c r="AA62" i="6"/>
  <c r="Z62" i="6"/>
  <c r="Y62" i="6"/>
  <c r="X62" i="6"/>
  <c r="AA61" i="6"/>
  <c r="Z61" i="6"/>
  <c r="Y61" i="6"/>
  <c r="X61" i="6"/>
  <c r="AA57" i="6"/>
  <c r="Z57" i="6"/>
  <c r="Y57" i="6"/>
  <c r="X57" i="6"/>
  <c r="AA60" i="6"/>
  <c r="Z60" i="6"/>
  <c r="Y60" i="6"/>
  <c r="X60" i="6"/>
  <c r="AA58" i="6"/>
  <c r="Z58" i="6"/>
  <c r="Y58" i="6"/>
  <c r="X58" i="6"/>
  <c r="AA54" i="6"/>
  <c r="Z54" i="6"/>
  <c r="Y54" i="6"/>
  <c r="X54" i="6"/>
  <c r="AA56" i="6"/>
  <c r="Z56" i="6"/>
  <c r="Y56" i="6"/>
  <c r="X56" i="6"/>
  <c r="AA52" i="6"/>
  <c r="Z52" i="6"/>
  <c r="Y52" i="6"/>
  <c r="X52" i="6"/>
  <c r="AA55" i="6"/>
  <c r="Z55" i="6"/>
  <c r="Y55" i="6"/>
  <c r="X55" i="6"/>
  <c r="AA48" i="6"/>
  <c r="Z48" i="6"/>
  <c r="Y48" i="6"/>
  <c r="X48" i="6"/>
  <c r="AA53" i="6"/>
  <c r="Z53" i="6"/>
  <c r="Y53" i="6"/>
  <c r="X53" i="6"/>
  <c r="AA43" i="6"/>
  <c r="Z43" i="6"/>
  <c r="Y43" i="6"/>
  <c r="X43" i="6"/>
  <c r="AA50" i="6"/>
  <c r="Z50" i="6"/>
  <c r="Y50" i="6"/>
  <c r="X50" i="6"/>
  <c r="AA49" i="6"/>
  <c r="Z49" i="6"/>
  <c r="Y49" i="6"/>
  <c r="X49" i="6"/>
  <c r="AA47" i="6"/>
  <c r="Z47" i="6"/>
  <c r="Y47" i="6"/>
  <c r="X47" i="6"/>
  <c r="AA46" i="6"/>
  <c r="Z46" i="6"/>
  <c r="Y46" i="6"/>
  <c r="X46" i="6"/>
  <c r="AA44" i="6"/>
  <c r="Z44" i="6"/>
  <c r="Y44" i="6"/>
  <c r="X44" i="6"/>
  <c r="AA42" i="6"/>
  <c r="Z42" i="6"/>
  <c r="Y42" i="6"/>
  <c r="X42" i="6"/>
  <c r="AA40" i="6"/>
  <c r="Z40" i="6"/>
  <c r="Y40" i="6"/>
  <c r="X40" i="6"/>
  <c r="AA39" i="6"/>
  <c r="Z39" i="6"/>
  <c r="Y39" i="6"/>
  <c r="X39" i="6"/>
  <c r="AA38" i="6"/>
  <c r="Z38" i="6"/>
  <c r="Y38" i="6"/>
  <c r="X38" i="6"/>
  <c r="AA37" i="6"/>
  <c r="Z37" i="6"/>
  <c r="Y37" i="6"/>
  <c r="X37" i="6"/>
  <c r="AA36" i="6"/>
  <c r="Z36" i="6"/>
  <c r="Y36" i="6"/>
  <c r="X36" i="6"/>
  <c r="X26" i="6"/>
  <c r="W75" i="6"/>
  <c r="V75" i="6"/>
  <c r="W63" i="6"/>
  <c r="V63" i="6"/>
  <c r="W73" i="6"/>
  <c r="V73" i="6"/>
  <c r="W70" i="6"/>
  <c r="V70" i="6"/>
  <c r="W21" i="6"/>
  <c r="V21" i="6"/>
  <c r="W69" i="6"/>
  <c r="V69" i="6"/>
  <c r="W68" i="6"/>
  <c r="V68" i="6"/>
  <c r="W67" i="6"/>
  <c r="V67" i="6"/>
  <c r="W65" i="6"/>
  <c r="V65" i="6"/>
  <c r="W59" i="6"/>
  <c r="V59" i="6"/>
  <c r="W64" i="6"/>
  <c r="V64" i="6"/>
  <c r="W62" i="6"/>
  <c r="V62" i="6"/>
  <c r="W61" i="6"/>
  <c r="V61" i="6"/>
  <c r="W57" i="6"/>
  <c r="V57" i="6"/>
  <c r="W60" i="6"/>
  <c r="V60" i="6"/>
  <c r="W58" i="6"/>
  <c r="V58" i="6"/>
  <c r="W54" i="6"/>
  <c r="V54" i="6"/>
  <c r="W56" i="6"/>
  <c r="V56" i="6"/>
  <c r="W52" i="6"/>
  <c r="V52" i="6"/>
  <c r="W55" i="6"/>
  <c r="V55" i="6"/>
  <c r="W48" i="6"/>
  <c r="V48" i="6"/>
  <c r="W53" i="6"/>
  <c r="V53" i="6"/>
  <c r="W43" i="6"/>
  <c r="V43" i="6"/>
  <c r="W50" i="6"/>
  <c r="V50" i="6"/>
  <c r="W49" i="6"/>
  <c r="V49" i="6"/>
  <c r="W47" i="6"/>
  <c r="V47" i="6"/>
  <c r="U75" i="6"/>
  <c r="T75" i="6"/>
  <c r="S75" i="6"/>
  <c r="R75" i="6"/>
  <c r="U63" i="6"/>
  <c r="T63" i="6"/>
  <c r="S63" i="6"/>
  <c r="R63" i="6"/>
  <c r="U73" i="6"/>
  <c r="T73" i="6"/>
  <c r="S73" i="6"/>
  <c r="R73" i="6"/>
  <c r="U70" i="6"/>
  <c r="T70" i="6"/>
  <c r="S70" i="6"/>
  <c r="R70" i="6"/>
  <c r="U21" i="6"/>
  <c r="T21" i="6"/>
  <c r="S21" i="6"/>
  <c r="U69" i="6"/>
  <c r="T69" i="6"/>
  <c r="S69" i="6"/>
  <c r="R69" i="6"/>
  <c r="U68" i="6"/>
  <c r="T68" i="6"/>
  <c r="S68" i="6"/>
  <c r="R68" i="6"/>
  <c r="U67" i="6"/>
  <c r="T67" i="6"/>
  <c r="S67" i="6"/>
  <c r="R67" i="6"/>
  <c r="U65" i="6"/>
  <c r="T65" i="6"/>
  <c r="S65" i="6"/>
  <c r="R65" i="6"/>
  <c r="U59" i="6"/>
  <c r="T59" i="6"/>
  <c r="S59" i="6"/>
  <c r="R59" i="6"/>
  <c r="U64" i="6"/>
  <c r="T64" i="6"/>
  <c r="S64" i="6"/>
  <c r="R64" i="6"/>
  <c r="U62" i="6"/>
  <c r="T62" i="6"/>
  <c r="S62" i="6"/>
  <c r="R62" i="6"/>
  <c r="U61" i="6"/>
  <c r="T61" i="6"/>
  <c r="S61" i="6"/>
  <c r="R61" i="6"/>
  <c r="U57" i="6"/>
  <c r="T57" i="6"/>
  <c r="S57" i="6"/>
  <c r="R57" i="6"/>
  <c r="U60" i="6"/>
  <c r="T60" i="6"/>
  <c r="S60" i="6"/>
  <c r="R60" i="6"/>
  <c r="U58" i="6"/>
  <c r="T58" i="6"/>
  <c r="S58" i="6"/>
  <c r="R58" i="6"/>
  <c r="U54" i="6"/>
  <c r="T54" i="6"/>
  <c r="S54" i="6"/>
  <c r="R54" i="6"/>
  <c r="U56" i="6"/>
  <c r="T56" i="6"/>
  <c r="S56" i="6"/>
  <c r="R56" i="6"/>
  <c r="U52" i="6"/>
  <c r="T52" i="6"/>
  <c r="S52" i="6"/>
  <c r="U55" i="6"/>
  <c r="T55" i="6"/>
  <c r="S55" i="6"/>
  <c r="R55" i="6"/>
  <c r="EZ21" i="6"/>
  <c r="AL21" i="6" s="1"/>
  <c r="ES21" i="6"/>
  <c r="AK21" i="6" s="1"/>
  <c r="EO21" i="6"/>
  <c r="AJ21" i="6" s="1"/>
  <c r="BX21" i="6"/>
  <c r="R21" i="6" s="1"/>
  <c r="BT21" i="6"/>
  <c r="Q21" i="6" s="1"/>
  <c r="BP21" i="6"/>
  <c r="P21" i="6" s="1"/>
  <c r="BL21" i="6"/>
  <c r="O21" i="6" s="1"/>
  <c r="BH21" i="6"/>
  <c r="N21" i="6" s="1"/>
  <c r="BC21" i="6"/>
  <c r="BB21" i="6"/>
  <c r="AZ21" i="6"/>
  <c r="AV21" i="6"/>
  <c r="K21" i="6" s="1"/>
  <c r="AR21" i="6"/>
  <c r="J21" i="6" s="1"/>
  <c r="W27" i="6"/>
  <c r="V27" i="6"/>
  <c r="U27" i="6"/>
  <c r="T27" i="6"/>
  <c r="S27" i="6"/>
  <c r="R27" i="6"/>
  <c r="Q27" i="6"/>
  <c r="P27" i="6"/>
  <c r="O27" i="6"/>
  <c r="N27" i="6"/>
  <c r="Q38" i="6"/>
  <c r="Q40" i="6"/>
  <c r="Q75" i="6"/>
  <c r="Q63" i="6"/>
  <c r="Q73" i="6"/>
  <c r="Q70" i="6"/>
  <c r="Q69" i="6"/>
  <c r="Q68" i="6"/>
  <c r="Q67" i="6"/>
  <c r="Q65" i="6"/>
  <c r="Q59" i="6"/>
  <c r="Q64" i="6"/>
  <c r="Q62" i="6"/>
  <c r="Q61" i="6"/>
  <c r="Q57" i="6"/>
  <c r="Q60" i="6"/>
  <c r="Q58" i="6"/>
  <c r="Q54" i="6"/>
  <c r="Q56" i="6"/>
  <c r="Q52" i="6"/>
  <c r="Q55" i="6"/>
  <c r="L21" i="6"/>
  <c r="H19" i="6"/>
  <c r="AC19" i="6"/>
  <c r="AB19" i="6"/>
  <c r="AA19" i="6"/>
  <c r="Z19" i="6"/>
  <c r="Y19" i="6"/>
  <c r="X19" i="6"/>
  <c r="AH35" i="6"/>
  <c r="AG35" i="6"/>
  <c r="AH34" i="6"/>
  <c r="AG34" i="6"/>
  <c r="AF35" i="6"/>
  <c r="AE35" i="6"/>
  <c r="AD35" i="6"/>
  <c r="AF34" i="6"/>
  <c r="AE34" i="6"/>
  <c r="AD34" i="6"/>
  <c r="AC35" i="6"/>
  <c r="AB35" i="6"/>
  <c r="AA35" i="6"/>
  <c r="Z35" i="6"/>
  <c r="AC34" i="6"/>
  <c r="AB34" i="6"/>
  <c r="AA34" i="6"/>
  <c r="Z34" i="6"/>
  <c r="Y35" i="6"/>
  <c r="X35" i="6"/>
  <c r="AM14" i="6"/>
  <c r="AL14" i="6"/>
  <c r="AK14" i="6"/>
  <c r="AJ14" i="6"/>
  <c r="AI14" i="6"/>
  <c r="AH14" i="6"/>
  <c r="AG14" i="6"/>
  <c r="AF14" i="6"/>
  <c r="AE14" i="6"/>
  <c r="AD14" i="6"/>
  <c r="AC14" i="6"/>
  <c r="M38" i="6"/>
  <c r="J45" i="6" l="1"/>
  <c r="H51" i="6"/>
  <c r="BD21" i="6"/>
  <c r="M21" i="6" s="1"/>
  <c r="H21" i="6" l="1"/>
  <c r="L124" i="4" l="1"/>
  <c r="H124" i="4" s="1"/>
  <c r="I124" i="4"/>
  <c r="J124" i="4" l="1"/>
  <c r="I123" i="4" l="1"/>
  <c r="L123" i="4"/>
  <c r="H123" i="4" s="1"/>
  <c r="J123" i="4" l="1"/>
  <c r="I121" i="4" l="1"/>
  <c r="E121" i="4" s="1"/>
  <c r="F121" i="4"/>
  <c r="G121" i="4" l="1"/>
  <c r="F120" i="4" l="1"/>
  <c r="I120" i="4"/>
  <c r="E120" i="4" s="1"/>
  <c r="G120" i="4" l="1"/>
  <c r="N19" i="9" l="1"/>
  <c r="N16" i="9" s="1"/>
  <c r="H5" i="6" l="1"/>
  <c r="AQ2" i="13" l="1"/>
  <c r="AR2" i="13" s="1"/>
  <c r="AS2" i="13" s="1"/>
  <c r="AT2" i="13" s="1"/>
  <c r="AU2" i="13" s="1"/>
  <c r="AV2" i="13" s="1"/>
  <c r="AW2" i="13" s="1"/>
  <c r="AX2" i="13" s="1"/>
  <c r="AY2" i="13" s="1"/>
  <c r="AZ2" i="13" s="1"/>
  <c r="BA2" i="13" s="1"/>
  <c r="BB2" i="13" s="1"/>
  <c r="BC2" i="13" s="1"/>
  <c r="BD2" i="13" s="1"/>
  <c r="BE2" i="13" s="1"/>
  <c r="BF2" i="13" s="1"/>
  <c r="BG2" i="13" s="1"/>
  <c r="BH2" i="13" s="1"/>
  <c r="BI2" i="13" s="1"/>
  <c r="BJ2" i="13" s="1"/>
  <c r="BK2" i="13" s="1"/>
  <c r="BL2" i="13" s="1"/>
  <c r="BM2" i="13" s="1"/>
  <c r="BN2" i="13" s="1"/>
  <c r="BO2" i="13" s="1"/>
  <c r="BP2" i="13" s="1"/>
  <c r="BQ2" i="13" s="1"/>
  <c r="BR2" i="13" s="1"/>
  <c r="BS2" i="13" s="1"/>
  <c r="BT2" i="13" s="1"/>
  <c r="BU2" i="13" s="1"/>
  <c r="BV2" i="13" s="1"/>
  <c r="BW2" i="13" s="1"/>
  <c r="BX2" i="13" s="1"/>
  <c r="BY2" i="13" s="1"/>
  <c r="BZ2" i="13" s="1"/>
  <c r="CA2" i="13" s="1"/>
  <c r="CB2" i="13" s="1"/>
  <c r="CC2" i="13" s="1"/>
  <c r="CD2" i="13" s="1"/>
  <c r="CE2" i="13" s="1"/>
  <c r="CF2" i="13" s="1"/>
  <c r="CG2" i="13" s="1"/>
  <c r="CH2" i="13" s="1"/>
  <c r="CI2" i="13" s="1"/>
  <c r="CJ2" i="13" s="1"/>
  <c r="CK2" i="13" s="1"/>
  <c r="CL2" i="13" s="1"/>
  <c r="CM2" i="13" s="1"/>
  <c r="CN2" i="13" s="1"/>
  <c r="CO2" i="13" s="1"/>
  <c r="CP2" i="13" s="1"/>
  <c r="CQ2" i="13" s="1"/>
  <c r="CR2" i="13" s="1"/>
  <c r="CS2" i="13" s="1"/>
  <c r="CT2" i="13" s="1"/>
  <c r="CU2" i="13" s="1"/>
  <c r="CV2" i="13" s="1"/>
  <c r="CW2" i="13" s="1"/>
  <c r="CX2" i="13" s="1"/>
  <c r="CY2" i="13" s="1"/>
  <c r="CZ2" i="13" s="1"/>
  <c r="DA2" i="13" s="1"/>
  <c r="DB2" i="13" s="1"/>
  <c r="DC2" i="13" s="1"/>
  <c r="DD2" i="13" s="1"/>
  <c r="DE2" i="13" s="1"/>
  <c r="DF2" i="13" s="1"/>
  <c r="DG2" i="13" s="1"/>
  <c r="DH2" i="13" s="1"/>
  <c r="DI2" i="13" s="1"/>
  <c r="DJ2" i="13" s="1"/>
  <c r="DK2" i="13" s="1"/>
  <c r="DL2" i="13" s="1"/>
  <c r="DM2" i="13" s="1"/>
  <c r="DN2" i="13" s="1"/>
  <c r="DO2" i="13" s="1"/>
  <c r="DP2" i="13" s="1"/>
  <c r="DQ2" i="13" s="1"/>
  <c r="DR2" i="13" s="1"/>
  <c r="DS2" i="13" s="1"/>
  <c r="DT2" i="13" s="1"/>
  <c r="DU2" i="13" s="1"/>
  <c r="DV2" i="13" s="1"/>
  <c r="DW2" i="13" s="1"/>
  <c r="DX2" i="13" s="1"/>
  <c r="DY2" i="13" s="1"/>
  <c r="DZ2" i="13" s="1"/>
  <c r="EA2" i="13" s="1"/>
  <c r="EB2" i="13" s="1"/>
  <c r="EC2" i="13" s="1"/>
  <c r="ED2" i="13" s="1"/>
  <c r="EE2" i="13" s="1"/>
  <c r="EF2" i="13" s="1"/>
  <c r="EG2" i="13" s="1"/>
  <c r="EH2" i="13" s="1"/>
  <c r="EI2" i="13" s="1"/>
  <c r="EJ2" i="13" s="1"/>
  <c r="EK2" i="13" s="1"/>
  <c r="EL2" i="13" s="1"/>
  <c r="EM2" i="13" s="1"/>
  <c r="EN2" i="13" s="1"/>
  <c r="EO2" i="13" s="1"/>
  <c r="EP2" i="13" s="1"/>
  <c r="EQ2" i="13" s="1"/>
  <c r="ER2" i="13" s="1"/>
  <c r="ES2" i="13" s="1"/>
  <c r="ET2" i="13" s="1"/>
  <c r="EU2" i="13" s="1"/>
  <c r="EV2" i="13" s="1"/>
  <c r="EW2" i="13" s="1"/>
  <c r="EX2" i="13" s="1"/>
  <c r="EY2" i="13" s="1"/>
  <c r="EZ2" i="13" s="1"/>
  <c r="FA2" i="13" s="1"/>
  <c r="FB2" i="13" s="1"/>
  <c r="FC2" i="13" s="1"/>
  <c r="FD2" i="13" s="1"/>
  <c r="FE2" i="13" s="1"/>
  <c r="FF2" i="13" s="1"/>
  <c r="FG2" i="13" s="1"/>
  <c r="FH2" i="13" s="1"/>
  <c r="FI2" i="13" s="1"/>
  <c r="FJ2" i="13" s="1"/>
  <c r="FK2" i="13" s="1"/>
  <c r="FL2" i="13" s="1"/>
  <c r="FM2" i="13" s="1"/>
  <c r="FN2" i="13" s="1"/>
  <c r="FO2" i="13" s="1"/>
  <c r="FP2" i="13" s="1"/>
  <c r="FQ2" i="13" s="1"/>
  <c r="FR2" i="13" s="1"/>
  <c r="FS2" i="13" s="1"/>
  <c r="FT2" i="13" s="1"/>
  <c r="FU2" i="13" s="1"/>
  <c r="FV2" i="13" s="1"/>
  <c r="FW2" i="13" s="1"/>
  <c r="FX2" i="13" s="1"/>
  <c r="FY2" i="13" s="1"/>
  <c r="FZ2" i="13" s="1"/>
  <c r="GA2" i="13" s="1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L22" i="6"/>
  <c r="M27" i="6"/>
  <c r="K27" i="6"/>
  <c r="J27" i="6"/>
  <c r="AW27" i="6"/>
  <c r="AX27" i="6" s="1"/>
  <c r="L27" i="6" l="1"/>
  <c r="H27" i="6"/>
  <c r="J6" i="12" l="1"/>
  <c r="H9" i="6" l="1"/>
  <c r="DD10" i="6" l="1"/>
  <c r="DC10" i="6"/>
  <c r="DB10" i="6"/>
  <c r="DA10" i="6"/>
  <c r="CZ10" i="6"/>
  <c r="CY10" i="6"/>
  <c r="CX10" i="6"/>
  <c r="CW10" i="6"/>
  <c r="CV10" i="6"/>
  <c r="CU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T10" i="6"/>
  <c r="AS10" i="6"/>
  <c r="AR10" i="6"/>
  <c r="AQ10" i="6"/>
  <c r="AP10" i="6"/>
  <c r="AO10" i="6"/>
  <c r="S10" i="6" l="1"/>
  <c r="V10" i="6"/>
  <c r="L10" i="6"/>
  <c r="R10" i="6"/>
  <c r="Q10" i="6"/>
  <c r="N10" i="6"/>
  <c r="M10" i="6"/>
  <c r="P10" i="6"/>
  <c r="J10" i="6"/>
  <c r="W10" i="6"/>
  <c r="T10" i="6"/>
  <c r="O10" i="6"/>
  <c r="U10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H36" i="6"/>
  <c r="H75" i="6"/>
  <c r="H63" i="6"/>
  <c r="H73" i="6"/>
  <c r="H70" i="6"/>
  <c r="H69" i="6"/>
  <c r="H68" i="6"/>
  <c r="H67" i="6"/>
  <c r="H65" i="6"/>
  <c r="H59" i="6"/>
  <c r="H64" i="6"/>
  <c r="H62" i="6"/>
  <c r="H61" i="6"/>
  <c r="H57" i="6"/>
  <c r="H38" i="6"/>
  <c r="H58" i="6"/>
  <c r="H54" i="6"/>
  <c r="H56" i="6"/>
  <c r="H52" i="6"/>
  <c r="H55" i="6"/>
  <c r="H40" i="6"/>
  <c r="H48" i="6"/>
  <c r="H53" i="6"/>
  <c r="H16" i="6"/>
  <c r="H11" i="6" s="1"/>
  <c r="H43" i="6"/>
  <c r="H50" i="6"/>
  <c r="H49" i="6"/>
  <c r="H42" i="6"/>
  <c r="H47" i="6"/>
  <c r="H29" i="6"/>
  <c r="H46" i="6"/>
  <c r="H44" i="6"/>
  <c r="H33" i="6"/>
  <c r="H24" i="6"/>
  <c r="H32" i="6"/>
  <c r="H25" i="6"/>
  <c r="H39" i="6"/>
  <c r="H37" i="6"/>
  <c r="H31" i="6"/>
  <c r="H28" i="6"/>
  <c r="H17" i="6"/>
  <c r="H22" i="6"/>
  <c r="H26" i="6"/>
  <c r="H35" i="6"/>
  <c r="H34" i="6"/>
  <c r="H20" i="6"/>
  <c r="H4" i="6"/>
  <c r="H3" i="6"/>
  <c r="H84" i="6"/>
  <c r="H15" i="6"/>
  <c r="H13" i="6"/>
  <c r="H12" i="6"/>
  <c r="H8" i="6"/>
  <c r="H7" i="6"/>
  <c r="H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J38" i="6"/>
  <c r="K38" i="6"/>
  <c r="L38" i="6"/>
  <c r="N38" i="6"/>
  <c r="O38" i="6"/>
  <c r="P38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W29" i="6" l="1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Y3" i="6"/>
  <c r="X3" i="6"/>
  <c r="Y34" i="6" l="1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H83" i="6"/>
  <c r="H82" i="6"/>
  <c r="Y4" i="6"/>
  <c r="X4" i="6"/>
  <c r="W46" i="6"/>
  <c r="V46" i="6"/>
  <c r="W44" i="6"/>
  <c r="V44" i="6"/>
  <c r="W33" i="6"/>
  <c r="V33" i="6"/>
  <c r="W24" i="6"/>
  <c r="V24" i="6"/>
  <c r="W32" i="6"/>
  <c r="V32" i="6"/>
  <c r="W39" i="6"/>
  <c r="V39" i="6"/>
  <c r="W37" i="6"/>
  <c r="V37" i="6"/>
  <c r="W30" i="6"/>
  <c r="V30" i="6"/>
  <c r="W31" i="6"/>
  <c r="V31" i="6"/>
  <c r="W85" i="6"/>
  <c r="V85" i="6"/>
  <c r="W18" i="6"/>
  <c r="V18" i="6"/>
  <c r="W35" i="6"/>
  <c r="V35" i="6"/>
  <c r="W28" i="6"/>
  <c r="V28" i="6"/>
  <c r="W17" i="6"/>
  <c r="V17" i="6"/>
  <c r="W22" i="6"/>
  <c r="V22" i="6"/>
  <c r="W23" i="6"/>
  <c r="V23" i="6"/>
  <c r="W26" i="6"/>
  <c r="V26" i="6"/>
  <c r="W19" i="6"/>
  <c r="V19" i="6"/>
  <c r="W20" i="6"/>
  <c r="V20" i="6"/>
  <c r="W84" i="6"/>
  <c r="V84" i="6"/>
  <c r="W83" i="6"/>
  <c r="V83" i="6"/>
  <c r="W15" i="6"/>
  <c r="V15" i="6"/>
  <c r="W7" i="6"/>
  <c r="V7" i="6"/>
  <c r="W13" i="6"/>
  <c r="V13" i="6"/>
  <c r="W82" i="6"/>
  <c r="V82" i="6"/>
  <c r="W5" i="6"/>
  <c r="V5" i="6"/>
  <c r="W8" i="6"/>
  <c r="V8" i="6"/>
  <c r="U48" i="6"/>
  <c r="T48" i="6"/>
  <c r="S48" i="6"/>
  <c r="R48" i="6"/>
  <c r="Q48" i="6"/>
  <c r="P48" i="6"/>
  <c r="O48" i="6"/>
  <c r="N48" i="6"/>
  <c r="M48" i="6"/>
  <c r="L48" i="6"/>
  <c r="K48" i="6"/>
  <c r="J48" i="6"/>
  <c r="U53" i="6"/>
  <c r="T53" i="6"/>
  <c r="S53" i="6"/>
  <c r="R53" i="6"/>
  <c r="Q53" i="6"/>
  <c r="P53" i="6"/>
  <c r="O53" i="6"/>
  <c r="N53" i="6"/>
  <c r="M53" i="6"/>
  <c r="L53" i="6"/>
  <c r="K53" i="6"/>
  <c r="J53" i="6"/>
  <c r="U16" i="6"/>
  <c r="T16" i="6"/>
  <c r="S16" i="6"/>
  <c r="R16" i="6"/>
  <c r="Q16" i="6"/>
  <c r="P16" i="6"/>
  <c r="O16" i="6"/>
  <c r="N16" i="6"/>
  <c r="M16" i="6"/>
  <c r="M11" i="6" s="1"/>
  <c r="L16" i="6"/>
  <c r="L11" i="6" s="1"/>
  <c r="K16" i="6"/>
  <c r="K11" i="6" s="1"/>
  <c r="J16" i="6"/>
  <c r="J11" i="6" s="1"/>
  <c r="U43" i="6"/>
  <c r="T43" i="6"/>
  <c r="S43" i="6"/>
  <c r="R43" i="6"/>
  <c r="Q43" i="6"/>
  <c r="P43" i="6"/>
  <c r="O43" i="6"/>
  <c r="N43" i="6"/>
  <c r="M43" i="6"/>
  <c r="L43" i="6"/>
  <c r="K43" i="6"/>
  <c r="J43" i="6"/>
  <c r="U50" i="6"/>
  <c r="T50" i="6"/>
  <c r="S50" i="6"/>
  <c r="R50" i="6"/>
  <c r="Q50" i="6"/>
  <c r="P50" i="6"/>
  <c r="O50" i="6"/>
  <c r="N50" i="6"/>
  <c r="M50" i="6"/>
  <c r="L50" i="6"/>
  <c r="K50" i="6"/>
  <c r="J50" i="6"/>
  <c r="U49" i="6"/>
  <c r="T49" i="6"/>
  <c r="S49" i="6"/>
  <c r="R49" i="6"/>
  <c r="Q49" i="6"/>
  <c r="P49" i="6"/>
  <c r="O49" i="6"/>
  <c r="N49" i="6"/>
  <c r="M49" i="6"/>
  <c r="L49" i="6"/>
  <c r="K49" i="6"/>
  <c r="J49" i="6"/>
  <c r="U42" i="6"/>
  <c r="T42" i="6"/>
  <c r="S42" i="6"/>
  <c r="R42" i="6"/>
  <c r="Q42" i="6"/>
  <c r="P42" i="6"/>
  <c r="O42" i="6"/>
  <c r="N42" i="6"/>
  <c r="M42" i="6"/>
  <c r="L42" i="6"/>
  <c r="K42" i="6"/>
  <c r="J42" i="6"/>
  <c r="U47" i="6"/>
  <c r="T47" i="6"/>
  <c r="S47" i="6"/>
  <c r="R47" i="6"/>
  <c r="Q47" i="6"/>
  <c r="O47" i="6"/>
  <c r="N47" i="6"/>
  <c r="M47" i="6"/>
  <c r="L47" i="6"/>
  <c r="K47" i="6"/>
  <c r="J47" i="6"/>
  <c r="U46" i="6"/>
  <c r="T46" i="6"/>
  <c r="S46" i="6"/>
  <c r="R46" i="6"/>
  <c r="Q46" i="6"/>
  <c r="P46" i="6"/>
  <c r="O46" i="6"/>
  <c r="N46" i="6"/>
  <c r="M46" i="6"/>
  <c r="L46" i="6"/>
  <c r="K46" i="6"/>
  <c r="J46" i="6"/>
  <c r="U44" i="6"/>
  <c r="T44" i="6"/>
  <c r="S44" i="6"/>
  <c r="R44" i="6"/>
  <c r="Q44" i="6"/>
  <c r="P44" i="6"/>
  <c r="O44" i="6"/>
  <c r="N44" i="6"/>
  <c r="M44" i="6"/>
  <c r="L44" i="6"/>
  <c r="K44" i="6"/>
  <c r="J44" i="6"/>
  <c r="U33" i="6"/>
  <c r="T33" i="6"/>
  <c r="S33" i="6"/>
  <c r="R33" i="6"/>
  <c r="Q33" i="6"/>
  <c r="P33" i="6"/>
  <c r="O33" i="6"/>
  <c r="N33" i="6"/>
  <c r="M33" i="6"/>
  <c r="L33" i="6"/>
  <c r="K33" i="6"/>
  <c r="J33" i="6"/>
  <c r="U24" i="6"/>
  <c r="T24" i="6"/>
  <c r="S24" i="6"/>
  <c r="R24" i="6"/>
  <c r="Q24" i="6"/>
  <c r="P24" i="6"/>
  <c r="O24" i="6"/>
  <c r="N24" i="6"/>
  <c r="M24" i="6"/>
  <c r="L24" i="6"/>
  <c r="K24" i="6"/>
  <c r="J24" i="6"/>
  <c r="U32" i="6"/>
  <c r="T32" i="6"/>
  <c r="S32" i="6"/>
  <c r="R32" i="6"/>
  <c r="Q32" i="6"/>
  <c r="P32" i="6"/>
  <c r="O32" i="6"/>
  <c r="N32" i="6"/>
  <c r="M32" i="6"/>
  <c r="L32" i="6"/>
  <c r="K32" i="6"/>
  <c r="J32" i="6"/>
  <c r="U39" i="6"/>
  <c r="T39" i="6"/>
  <c r="S39" i="6"/>
  <c r="R39" i="6"/>
  <c r="Q39" i="6"/>
  <c r="P39" i="6"/>
  <c r="O39" i="6"/>
  <c r="N39" i="6"/>
  <c r="M39" i="6"/>
  <c r="L39" i="6"/>
  <c r="K39" i="6"/>
  <c r="J39" i="6"/>
  <c r="U37" i="6"/>
  <c r="T37" i="6"/>
  <c r="S37" i="6"/>
  <c r="R37" i="6"/>
  <c r="Q37" i="6"/>
  <c r="P37" i="6"/>
  <c r="O37" i="6"/>
  <c r="N37" i="6"/>
  <c r="M37" i="6"/>
  <c r="L37" i="6"/>
  <c r="K37" i="6"/>
  <c r="J37" i="6"/>
  <c r="U30" i="6"/>
  <c r="T30" i="6"/>
  <c r="S30" i="6"/>
  <c r="R30" i="6"/>
  <c r="Q30" i="6"/>
  <c r="P30" i="6"/>
  <c r="O30" i="6"/>
  <c r="N30" i="6"/>
  <c r="M30" i="6"/>
  <c r="L30" i="6"/>
  <c r="K30" i="6"/>
  <c r="U31" i="6"/>
  <c r="T31" i="6"/>
  <c r="S31" i="6"/>
  <c r="R31" i="6"/>
  <c r="Q31" i="6"/>
  <c r="P31" i="6"/>
  <c r="O31" i="6"/>
  <c r="N31" i="6"/>
  <c r="M31" i="6"/>
  <c r="L31" i="6"/>
  <c r="K31" i="6"/>
  <c r="J31" i="6"/>
  <c r="U85" i="6"/>
  <c r="T85" i="6"/>
  <c r="S85" i="6"/>
  <c r="R85" i="6"/>
  <c r="Q85" i="6"/>
  <c r="P85" i="6"/>
  <c r="O85" i="6"/>
  <c r="N85" i="6"/>
  <c r="M85" i="6"/>
  <c r="L85" i="6"/>
  <c r="J85" i="6"/>
  <c r="U18" i="6"/>
  <c r="T18" i="6"/>
  <c r="S18" i="6"/>
  <c r="R18" i="6"/>
  <c r="Q18" i="6"/>
  <c r="P18" i="6"/>
  <c r="O18" i="6"/>
  <c r="N18" i="6"/>
  <c r="M18" i="6"/>
  <c r="L18" i="6"/>
  <c r="K18" i="6"/>
  <c r="U35" i="6"/>
  <c r="T35" i="6"/>
  <c r="S35" i="6"/>
  <c r="R35" i="6"/>
  <c r="Q35" i="6"/>
  <c r="P35" i="6"/>
  <c r="O35" i="6"/>
  <c r="N35" i="6"/>
  <c r="M35" i="6"/>
  <c r="L35" i="6"/>
  <c r="K35" i="6"/>
  <c r="J35" i="6"/>
  <c r="U28" i="6"/>
  <c r="T28" i="6"/>
  <c r="S28" i="6"/>
  <c r="R28" i="6"/>
  <c r="Q28" i="6"/>
  <c r="P28" i="6"/>
  <c r="O28" i="6"/>
  <c r="N28" i="6"/>
  <c r="M28" i="6"/>
  <c r="L28" i="6"/>
  <c r="K28" i="6"/>
  <c r="J28" i="6"/>
  <c r="U17" i="6"/>
  <c r="T17" i="6"/>
  <c r="S17" i="6"/>
  <c r="R17" i="6"/>
  <c r="Q17" i="6"/>
  <c r="P17" i="6"/>
  <c r="O17" i="6"/>
  <c r="N17" i="6"/>
  <c r="M17" i="6"/>
  <c r="L17" i="6"/>
  <c r="K17" i="6"/>
  <c r="J17" i="6"/>
  <c r="U22" i="6"/>
  <c r="T22" i="6"/>
  <c r="S22" i="6"/>
  <c r="R22" i="6"/>
  <c r="Q22" i="6"/>
  <c r="P22" i="6"/>
  <c r="O22" i="6"/>
  <c r="N22" i="6"/>
  <c r="M22" i="6"/>
  <c r="K22" i="6"/>
  <c r="J22" i="6"/>
  <c r="U23" i="6"/>
  <c r="T23" i="6"/>
  <c r="S23" i="6"/>
  <c r="R23" i="6"/>
  <c r="Q23" i="6"/>
  <c r="P23" i="6"/>
  <c r="U26" i="6"/>
  <c r="T26" i="6"/>
  <c r="S26" i="6"/>
  <c r="R26" i="6"/>
  <c r="Q26" i="6"/>
  <c r="P26" i="6"/>
  <c r="O26" i="6"/>
  <c r="N26" i="6"/>
  <c r="M26" i="6"/>
  <c r="L26" i="6"/>
  <c r="K26" i="6"/>
  <c r="J26" i="6"/>
  <c r="U19" i="6"/>
  <c r="T19" i="6"/>
  <c r="S19" i="6"/>
  <c r="R19" i="6"/>
  <c r="Q19" i="6"/>
  <c r="P19" i="6"/>
  <c r="O19" i="6"/>
  <c r="N19" i="6"/>
  <c r="M19" i="6"/>
  <c r="L19" i="6"/>
  <c r="K19" i="6"/>
  <c r="J19" i="6"/>
  <c r="U20" i="6"/>
  <c r="T20" i="6"/>
  <c r="S20" i="6"/>
  <c r="R20" i="6"/>
  <c r="Q20" i="6"/>
  <c r="P20" i="6"/>
  <c r="O20" i="6"/>
  <c r="N20" i="6"/>
  <c r="M20" i="6"/>
  <c r="L20" i="6"/>
  <c r="K20" i="6"/>
  <c r="J20" i="6"/>
  <c r="U84" i="6"/>
  <c r="T84" i="6"/>
  <c r="S84" i="6"/>
  <c r="R84" i="6"/>
  <c r="Q84" i="6"/>
  <c r="P84" i="6"/>
  <c r="O84" i="6"/>
  <c r="N84" i="6"/>
  <c r="M84" i="6"/>
  <c r="L84" i="6"/>
  <c r="K84" i="6"/>
  <c r="J84" i="6"/>
  <c r="H6" i="6" l="1"/>
  <c r="V6" i="6"/>
  <c r="W6" i="6"/>
  <c r="U15" i="6"/>
  <c r="U7" i="6"/>
  <c r="U13" i="6"/>
  <c r="U82" i="6"/>
  <c r="U5" i="6"/>
  <c r="U8" i="6"/>
  <c r="U83" i="6"/>
  <c r="T83" i="6"/>
  <c r="T15" i="6"/>
  <c r="T7" i="6"/>
  <c r="T13" i="6"/>
  <c r="T82" i="6"/>
  <c r="T5" i="6"/>
  <c r="T8" i="6"/>
  <c r="S83" i="6"/>
  <c r="J83" i="6"/>
  <c r="J6" i="6" s="1"/>
  <c r="P83" i="6"/>
  <c r="P6" i="6" s="1"/>
  <c r="P15" i="6"/>
  <c r="S15" i="6"/>
  <c r="S7" i="6"/>
  <c r="S13" i="6"/>
  <c r="S82" i="6"/>
  <c r="S5" i="6"/>
  <c r="S8" i="6"/>
  <c r="R83" i="6"/>
  <c r="R15" i="6"/>
  <c r="R7" i="6"/>
  <c r="R13" i="6"/>
  <c r="R82" i="6"/>
  <c r="R5" i="6"/>
  <c r="R8" i="6"/>
  <c r="Q83" i="6"/>
  <c r="O83" i="6"/>
  <c r="O6" i="6" s="1"/>
  <c r="Q15" i="6"/>
  <c r="Q7" i="6"/>
  <c r="Q13" i="6"/>
  <c r="Q82" i="6"/>
  <c r="Q5" i="6"/>
  <c r="Q8" i="6"/>
  <c r="N83" i="6"/>
  <c r="N6" i="6" s="1"/>
  <c r="M83" i="6"/>
  <c r="M6" i="6" s="1"/>
  <c r="L83" i="6"/>
  <c r="L6" i="6" s="1"/>
  <c r="K83" i="6"/>
  <c r="K6" i="6" s="1"/>
  <c r="P8" i="6"/>
  <c r="O8" i="6"/>
  <c r="N8" i="6"/>
  <c r="M8" i="6"/>
  <c r="L8" i="6"/>
  <c r="K8" i="6"/>
  <c r="J8" i="6"/>
  <c r="T6" i="6" l="1"/>
  <c r="U6" i="6"/>
  <c r="R6" i="6"/>
  <c r="S6" i="6"/>
  <c r="Q6" i="6"/>
  <c r="BH23" i="6"/>
  <c r="BI23" i="6"/>
  <c r="BJ23" i="6"/>
  <c r="O23" i="6" l="1"/>
  <c r="O15" i="6"/>
  <c r="N15" i="6"/>
  <c r="M15" i="6"/>
  <c r="L15" i="6"/>
  <c r="J15" i="6"/>
  <c r="K15" i="6"/>
  <c r="P56" i="6" l="1"/>
  <c r="O56" i="6"/>
  <c r="N56" i="6"/>
  <c r="F8" i="9" l="1"/>
  <c r="E8" i="9"/>
  <c r="D8" i="9"/>
  <c r="C8" i="9"/>
  <c r="C31" i="9" s="1"/>
  <c r="D31" i="9" l="1"/>
  <c r="H13" i="9" l="1"/>
  <c r="H14" i="9" s="1"/>
  <c r="G13" i="9"/>
  <c r="G14" i="9" s="1"/>
  <c r="H7" i="9"/>
  <c r="H8" i="9" s="1"/>
  <c r="G7" i="9"/>
  <c r="G8" i="9" s="1"/>
  <c r="H15" i="9" l="1"/>
  <c r="G15" i="9"/>
  <c r="G31" i="9" s="1"/>
  <c r="H31" i="9"/>
  <c r="P70" i="6" l="1"/>
  <c r="O70" i="6"/>
  <c r="N70" i="6"/>
  <c r="M70" i="6"/>
  <c r="L70" i="6"/>
  <c r="K70" i="6"/>
  <c r="J70" i="6"/>
  <c r="P73" i="6"/>
  <c r="O73" i="6"/>
  <c r="N73" i="6"/>
  <c r="M73" i="6"/>
  <c r="L73" i="6"/>
  <c r="K73" i="6"/>
  <c r="J73" i="6"/>
  <c r="P69" i="6"/>
  <c r="O69" i="6"/>
  <c r="N69" i="6"/>
  <c r="M69" i="6"/>
  <c r="L69" i="6"/>
  <c r="K69" i="6"/>
  <c r="J69" i="6"/>
  <c r="P65" i="6"/>
  <c r="O65" i="6"/>
  <c r="N65" i="6"/>
  <c r="M65" i="6"/>
  <c r="L65" i="6"/>
  <c r="K65" i="6"/>
  <c r="J65" i="6"/>
  <c r="K62" i="6"/>
  <c r="K75" i="6"/>
  <c r="J62" i="6"/>
  <c r="J75" i="6"/>
  <c r="P62" i="6"/>
  <c r="P75" i="6"/>
  <c r="O62" i="6"/>
  <c r="O75" i="6"/>
  <c r="N62" i="6"/>
  <c r="N75" i="6"/>
  <c r="M62" i="6"/>
  <c r="M75" i="6"/>
  <c r="L62" i="6"/>
  <c r="L75" i="6"/>
  <c r="P64" i="6"/>
  <c r="O64" i="6"/>
  <c r="N64" i="6"/>
  <c r="M64" i="6"/>
  <c r="L64" i="6"/>
  <c r="K64" i="6"/>
  <c r="J64" i="6"/>
  <c r="P67" i="6"/>
  <c r="O67" i="6"/>
  <c r="N67" i="6"/>
  <c r="M67" i="6"/>
  <c r="L67" i="6"/>
  <c r="K67" i="6"/>
  <c r="J67" i="6"/>
  <c r="P55" i="6"/>
  <c r="O55" i="6"/>
  <c r="N55" i="6"/>
  <c r="M55" i="6"/>
  <c r="L55" i="6"/>
  <c r="K55" i="6"/>
  <c r="J55" i="6"/>
  <c r="J61" i="6"/>
  <c r="K61" i="6"/>
  <c r="L61" i="6"/>
  <c r="M61" i="6"/>
  <c r="N61" i="6"/>
  <c r="O61" i="6"/>
  <c r="P61" i="6"/>
  <c r="M56" i="6"/>
  <c r="L56" i="6"/>
  <c r="K56" i="6"/>
  <c r="J56" i="6"/>
  <c r="O68" i="6"/>
  <c r="N68" i="6"/>
  <c r="N58" i="6"/>
  <c r="M68" i="6"/>
  <c r="M58" i="6"/>
  <c r="L68" i="6"/>
  <c r="K68" i="6"/>
  <c r="J68" i="6"/>
  <c r="P68" i="6" l="1"/>
  <c r="P58" i="6"/>
  <c r="P52" i="6"/>
  <c r="P63" i="6"/>
  <c r="P54" i="6"/>
  <c r="P59" i="6"/>
  <c r="P60" i="6"/>
  <c r="P57" i="6"/>
  <c r="P7" i="6"/>
  <c r="P40" i="6"/>
  <c r="P5" i="6"/>
  <c r="O58" i="6"/>
  <c r="O52" i="6"/>
  <c r="O63" i="6"/>
  <c r="O54" i="6"/>
  <c r="O59" i="6"/>
  <c r="O60" i="6"/>
  <c r="O57" i="6"/>
  <c r="O7" i="6"/>
  <c r="O40" i="6"/>
  <c r="O5" i="6"/>
  <c r="N52" i="6"/>
  <c r="N63" i="6"/>
  <c r="N54" i="6"/>
  <c r="N59" i="6"/>
  <c r="N60" i="6"/>
  <c r="N57" i="6"/>
  <c r="N7" i="6"/>
  <c r="N40" i="6"/>
  <c r="N5" i="6"/>
  <c r="M52" i="6"/>
  <c r="M63" i="6"/>
  <c r="M54" i="6"/>
  <c r="M59" i="6"/>
  <c r="M60" i="6"/>
  <c r="M57" i="6"/>
  <c r="M7" i="6"/>
  <c r="M40" i="6"/>
  <c r="M5" i="6"/>
  <c r="L58" i="6"/>
  <c r="K58" i="6"/>
  <c r="J58" i="6"/>
  <c r="L52" i="6"/>
  <c r="K52" i="6"/>
  <c r="J52" i="6"/>
  <c r="L63" i="6"/>
  <c r="K63" i="6"/>
  <c r="J63" i="6"/>
  <c r="L54" i="6"/>
  <c r="K54" i="6"/>
  <c r="J54" i="6"/>
  <c r="L59" i="6"/>
  <c r="K59" i="6"/>
  <c r="J59" i="6"/>
  <c r="L7" i="6"/>
  <c r="K7" i="6"/>
  <c r="J7" i="6"/>
  <c r="L57" i="6"/>
  <c r="K57" i="6"/>
  <c r="J57" i="6"/>
  <c r="L60" i="6"/>
  <c r="J60" i="6"/>
  <c r="L40" i="6"/>
  <c r="K40" i="6"/>
  <c r="J40" i="6"/>
  <c r="L5" i="6"/>
  <c r="K5" i="6"/>
  <c r="J5" i="6"/>
  <c r="I76" i="4"/>
  <c r="E76" i="4" s="1" a="1"/>
  <c r="E76" i="4" s="1"/>
  <c r="F76" i="4"/>
  <c r="G76" i="4" l="1"/>
  <c r="BD23" i="6"/>
  <c r="BG23" i="6"/>
  <c r="BF23" i="6"/>
  <c r="BE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N23" i="6" l="1"/>
  <c r="M23" i="6"/>
  <c r="L23" i="6"/>
  <c r="H23" i="6"/>
  <c r="K23" i="6"/>
  <c r="J23" i="6"/>
  <c r="F14" i="5" l="1" a="1"/>
  <c r="F14" i="5" s="1"/>
  <c r="AU85" i="6" l="1"/>
  <c r="AP30" i="6"/>
  <c r="AR30" i="6"/>
  <c r="AR18" i="6"/>
  <c r="H18" i="6" s="1"/>
  <c r="AR1" i="6" l="1"/>
  <c r="H85" i="6"/>
  <c r="AU10" i="6"/>
  <c r="K10" i="6" s="1"/>
  <c r="H30" i="6"/>
  <c r="J18" i="6"/>
  <c r="J30" i="6"/>
  <c r="K85" i="6"/>
  <c r="H10" i="6" l="1"/>
  <c r="AS60" i="6"/>
  <c r="H60" i="6" s="1"/>
  <c r="K60" i="6" l="1"/>
  <c r="B3" i="5" l="1"/>
  <c r="A10" i="6" l="1"/>
  <c r="A13" i="6" s="1"/>
  <c r="A15" i="6" s="1"/>
  <c r="A14" i="6" s="1"/>
  <c r="A18" i="6" s="1"/>
  <c r="A19" i="6" s="1"/>
  <c r="A20" i="6" s="1"/>
  <c r="A34" i="6" s="1"/>
  <c r="A35" i="6" s="1"/>
  <c r="A26" i="6" s="1"/>
  <c r="A23" i="6" s="1"/>
  <c r="A22" i="6" s="1"/>
  <c r="A17" i="6" s="1"/>
  <c r="A28" i="6" s="1"/>
  <c r="A36" i="6" s="1"/>
  <c r="A31" i="6" s="1"/>
  <c r="A30" i="6" s="1"/>
  <c r="A37" i="6" l="1"/>
  <c r="A39" i="6" s="1"/>
  <c r="A32" i="6" s="1"/>
  <c r="A24" i="6" s="1"/>
  <c r="A33" i="6" s="1"/>
  <c r="A25" i="6"/>
  <c r="A46" i="6" l="1"/>
  <c r="A47" i="6" s="1"/>
  <c r="A42" i="6" s="1"/>
  <c r="A49" i="6" s="1"/>
  <c r="A27" i="6" s="1"/>
  <c r="A50" i="6" s="1"/>
  <c r="A43" i="6" s="1"/>
  <c r="A16" i="6" s="1"/>
  <c r="A53" i="6" s="1"/>
  <c r="A48" i="6" s="1"/>
  <c r="A40" i="6" s="1"/>
  <c r="A55" i="6" s="1"/>
  <c r="A52" i="6" s="1"/>
  <c r="A56" i="6" s="1"/>
  <c r="A54" i="6" s="1"/>
  <c r="A58" i="6" s="1"/>
  <c r="A60" i="6" s="1"/>
  <c r="A38" i="6" s="1"/>
  <c r="A57" i="6" s="1"/>
  <c r="A61" i="6" s="1"/>
  <c r="A62" i="6" s="1"/>
  <c r="A64" i="6" s="1"/>
  <c r="A44" i="6"/>
  <c r="A29" i="6" s="1"/>
  <c r="A45" i="6" l="1"/>
  <c r="A76" i="6"/>
  <c r="A59" i="6"/>
  <c r="A65" i="6" s="1"/>
  <c r="A71" i="6" s="1"/>
  <c r="A74" i="6"/>
  <c r="A67" i="6" l="1"/>
  <c r="A72" i="6"/>
  <c r="A68" i="6" l="1"/>
  <c r="A69" i="6" s="1"/>
  <c r="A66" i="6"/>
  <c r="A70" i="6"/>
  <c r="A73" i="6" s="1"/>
  <c r="A63" i="6" s="1"/>
  <c r="A75" i="6" s="1"/>
  <c r="A21" i="6"/>
  <c r="A51" i="6" l="1"/>
  <c r="A41" i="6"/>
  <c r="D124" i="4" l="1"/>
  <c r="D72" i="1" l="1"/>
  <c r="D73" i="1" s="1"/>
  <c r="D74" i="1" s="1"/>
  <c r="D75" i="1" l="1"/>
  <c r="D76" i="1" s="1"/>
  <c r="D77" i="1" s="1"/>
  <c r="D78" i="1" s="1"/>
  <c r="D79" i="1" s="1"/>
  <c r="D80" i="1" l="1"/>
  <c r="D81" i="1" s="1"/>
  <c r="D82" i="1" s="1"/>
  <c r="D83" i="1" s="1"/>
  <c r="D84" i="1" s="1"/>
  <c r="D85" i="1" s="1"/>
  <c r="D86" i="1" s="1"/>
  <c r="D87" i="1" s="1"/>
  <c r="D88" i="1" s="1"/>
  <c r="D89" i="1" s="1"/>
  <c r="D90" i="1" l="1"/>
  <c r="D91" i="1" s="1"/>
  <c r="D92" i="1" s="1"/>
  <c r="D93" i="1" s="1"/>
  <c r="D94" i="1" s="1"/>
  <c r="D95" i="1" l="1"/>
  <c r="D96" i="1" s="1"/>
  <c r="D97" i="1" s="1"/>
  <c r="D98" i="1" s="1"/>
  <c r="D99" i="1" s="1"/>
  <c r="D100" i="1" s="1"/>
  <c r="D101" i="1" s="1"/>
  <c r="D102" i="1" s="1"/>
  <c r="D103" i="1" l="1"/>
  <c r="D126" i="4" l="1"/>
  <c r="D127" i="4" s="1"/>
  <c r="D104" i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l="1"/>
  <c r="D116" i="1" s="1"/>
  <c r="D117" i="1" s="1"/>
  <c r="D118" i="1" s="1"/>
  <c r="D119" i="1" l="1"/>
  <c r="D120" i="1" l="1"/>
  <c r="D121" i="1" l="1"/>
  <c r="D129" i="4" s="1"/>
  <c r="D385" i="1"/>
  <c r="D386" i="1" s="1"/>
  <c r="D389" i="1" s="1"/>
  <c r="D390" i="1" s="1"/>
  <c r="D394" i="1" l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391" i="1"/>
  <c r="D392" i="1" s="1"/>
  <c r="D393" i="1" s="1"/>
  <c r="D122" i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l="1"/>
  <c r="D381" i="1" l="1"/>
  <c r="D382" i="1" s="1"/>
  <c r="D383" i="1" s="1"/>
  <c r="D135" i="1"/>
  <c r="D136" i="1" l="1"/>
  <c r="D408" i="1"/>
  <c r="D409" i="1" s="1"/>
  <c r="D410" i="1" s="1"/>
  <c r="D412" i="1" l="1"/>
  <c r="D413" i="1" s="1"/>
  <c r="D414" i="1" s="1"/>
  <c r="D411" i="1"/>
  <c r="D137" i="1"/>
  <c r="D138" i="1" s="1"/>
  <c r="D139" i="1" s="1"/>
  <c r="D140" i="1" s="1"/>
  <c r="D141" i="1" s="1"/>
  <c r="D142" i="1" s="1"/>
  <c r="D143" i="1" s="1"/>
  <c r="D144" i="1" s="1"/>
  <c r="D520" i="1" l="1"/>
  <c r="D521" i="1" s="1"/>
  <c r="D522" i="1" s="1"/>
  <c r="D523" i="1" s="1"/>
  <c r="D524" i="1" s="1"/>
  <c r="D525" i="1" s="1"/>
  <c r="D526" i="1" s="1"/>
  <c r="D527" i="1" s="1"/>
  <c r="D528" i="1" s="1"/>
  <c r="D529" i="1" s="1"/>
  <c r="D145" i="1"/>
  <c r="D146" i="1" s="1"/>
  <c r="D147" i="1" s="1"/>
  <c r="D148" i="1" s="1"/>
  <c r="D149" i="1" s="1"/>
  <c r="D150" i="1" s="1"/>
  <c r="D151" i="1" s="1"/>
  <c r="D152" i="1" s="1"/>
  <c r="D153" i="1" s="1"/>
  <c r="D530" i="1" l="1"/>
  <c r="D531" i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154" i="1"/>
  <c r="D568" i="1" l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155" i="1"/>
  <c r="D423" i="1" l="1"/>
  <c r="D424" i="1" s="1"/>
  <c r="D425" i="1" s="1"/>
  <c r="D426" i="1" s="1"/>
  <c r="D427" i="1" s="1"/>
  <c r="D428" i="1" s="1"/>
  <c r="D156" i="1"/>
  <c r="D429" i="1" l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157" i="1"/>
  <c r="D158" i="1" l="1"/>
  <c r="D159" i="1" s="1"/>
  <c r="D160" i="1" s="1"/>
  <c r="D161" i="1" s="1"/>
  <c r="D123" i="4"/>
  <c r="D294" i="1" l="1"/>
  <c r="D162" i="1"/>
  <c r="D163" i="1" s="1"/>
  <c r="D164" i="1" s="1"/>
  <c r="D165" i="1" s="1"/>
  <c r="D166" i="1" s="1"/>
  <c r="D167" i="1" s="1"/>
  <c r="D168" i="1" s="1"/>
  <c r="D169" i="1" s="1"/>
  <c r="D170" i="1" s="1"/>
  <c r="D171" i="1" s="1"/>
  <c r="D483" i="1" l="1"/>
  <c r="D484" i="1" s="1"/>
  <c r="D485" i="1" s="1"/>
  <c r="D172" i="1"/>
  <c r="D173" i="1" s="1"/>
  <c r="D174" i="1" s="1"/>
  <c r="D175" i="1" s="1"/>
  <c r="D176" i="1" s="1"/>
  <c r="D177" i="1" s="1"/>
  <c r="D178" i="1" s="1"/>
  <c r="D179" i="1" s="1"/>
  <c r="D180" i="1" s="1"/>
  <c r="D181" i="1" s="1"/>
  <c r="D296" i="1" l="1"/>
  <c r="D297" i="1" s="1"/>
  <c r="D182" i="1"/>
  <c r="D486" i="1"/>
  <c r="D487" i="1" s="1"/>
  <c r="D488" i="1" s="1"/>
  <c r="D489" i="1" s="1"/>
  <c r="D490" i="1" s="1"/>
  <c r="D491" i="1" s="1"/>
  <c r="D492" i="1" s="1"/>
  <c r="D493" i="1" s="1"/>
  <c r="D494" i="1" s="1"/>
  <c r="D508" i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303" i="1" l="1"/>
  <c r="D304" i="1" s="1"/>
  <c r="D183" i="1"/>
  <c r="D495" i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184" i="1" l="1"/>
  <c r="D185" i="1" s="1"/>
  <c r="D2" i="1"/>
  <c r="D305" i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186" i="1" l="1"/>
  <c r="D416" i="1"/>
  <c r="D417" i="1" s="1"/>
  <c r="D418" i="1" s="1"/>
  <c r="D419" i="1" s="1"/>
  <c r="D420" i="1" s="1"/>
  <c r="D421" i="1" s="1"/>
  <c r="D187" i="1" l="1"/>
  <c r="D188" i="1" s="1"/>
  <c r="D189" i="1" s="1"/>
  <c r="D190" i="1" l="1"/>
  <c r="D191" i="1" s="1"/>
  <c r="D192" i="1" s="1"/>
  <c r="D193" i="1" s="1"/>
  <c r="D194" i="1" s="1"/>
  <c r="D195" i="1" s="1"/>
  <c r="D196" i="1" l="1"/>
  <c r="D365" i="1"/>
  <c r="D366" i="1" s="1"/>
  <c r="D367" i="1" s="1"/>
  <c r="D368" i="1" s="1"/>
  <c r="D369" i="1" s="1"/>
  <c r="D197" i="1"/>
  <c r="D198" i="1" s="1"/>
  <c r="D199" i="1" s="1"/>
  <c r="D200" i="1" s="1"/>
  <c r="D299" i="1" l="1"/>
  <c r="D300" i="1" s="1"/>
  <c r="D301" i="1" s="1"/>
  <c r="D320" i="1"/>
  <c r="D321" i="1" s="1"/>
  <c r="D322" i="1" s="1"/>
  <c r="D323" i="1" s="1"/>
  <c r="D324" i="1" s="1"/>
  <c r="D325" i="1" s="1"/>
  <c r="D326" i="1" s="1"/>
  <c r="D327" i="1" s="1"/>
  <c r="D328" i="1" s="1"/>
  <c r="D329" i="1" s="1"/>
  <c r="D201" i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l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330" i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231" i="1" l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128" i="4"/>
  <c r="D230" i="1"/>
  <c r="D372" i="1"/>
  <c r="D373" i="1" s="1"/>
  <c r="D374" i="1" s="1"/>
  <c r="D375" i="1" s="1"/>
  <c r="D376" i="1" s="1"/>
  <c r="D377" i="1" s="1"/>
  <c r="D378" i="1" s="1"/>
  <c r="D379" i="1" s="1"/>
  <c r="D348" i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248" i="1" l="1"/>
  <c r="D249" i="1" s="1"/>
  <c r="D250" i="1" s="1"/>
  <c r="D251" i="1" s="1"/>
  <c r="D252" i="1" s="1"/>
  <c r="D247" i="1"/>
  <c r="D254" i="1" l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53" i="1"/>
  <c r="D269" i="1" l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tc={BD232633-B731-4006-BB3B-D8E129D440DC}</author>
    <author>tc={04F78393-8EA9-40BC-8082-CEF6CFF97390}</author>
    <author>tc={EC50C9E7-F3F1-43BE-86B0-43595A1C76D3}</author>
    <author>tc={DACA8B84-EAD9-49E5-84E5-F0A33824FAEA}</author>
    <author>tc={9A7DD5E2-25C3-4833-91F1-ECB38B53DB14}</author>
    <author>tc={89FAACF6-CF87-4A8B-A24F-DA278EE9FD0C}</author>
    <author>tc={4A64B629-8CF8-4133-9BEC-419A4B0F830E}</author>
    <author>tc={CD1010F9-76B4-444F-8BE3-0C7F8D316EE9}</author>
    <author>tc={B2572E6F-40CC-4FA7-9340-8AC8902D6330}</author>
    <author>tc={C7B21EC5-CCB1-4871-B59C-1D6C7B04AAA3}</author>
  </authors>
  <commentList>
    <comment ref="AE5" authorId="0" shapeId="0" xr:uid="{BD232633-B731-4006-BB3B-D8E129D440D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21.80</t>
      </text>
    </comment>
    <comment ref="AF5" authorId="1" shapeId="0" xr:uid="{04F78393-8EA9-40BC-8082-CEF6CFF97390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29.66</t>
      </text>
    </comment>
    <comment ref="AE6" authorId="2" shapeId="0" xr:uid="{EC50C9E7-F3F1-43BE-86B0-43595A1C76D3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10.61</t>
      </text>
    </comment>
    <comment ref="AF6" authorId="3" shapeId="0" xr:uid="{DACA8B84-EAD9-49E5-84E5-F0A33824FAEA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11.10</t>
      </text>
    </comment>
    <comment ref="AG6" authorId="4" shapeId="0" xr:uid="{9A7DD5E2-25C3-4833-91F1-ECB38B53DB14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11.44</t>
      </text>
    </comment>
    <comment ref="AE7" authorId="5" shapeId="0" xr:uid="{89FAACF6-CF87-4A8B-A24F-DA278EE9FD0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12.23</t>
      </text>
    </comment>
    <comment ref="AF7" authorId="6" shapeId="0" xr:uid="{4A64B629-8CF8-4133-9BEC-419A4B0F830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13.99</t>
      </text>
    </comment>
    <comment ref="AL7" authorId="7" shapeId="0" xr:uid="{CD1010F9-76B4-444F-8BE3-0C7F8D316EE9}">
      <text>
        <t>[Threaded comment]
Your version of Excel allows you to read this threaded comment; however, any edits to it will get removed if the file is opened in a newer version of Excel. Learn more: https://go.microsoft.com/fwlink/?linkid=870924
Comment:
    1888 Abbott Labs, 2013 AbbVie</t>
      </text>
    </comment>
    <comment ref="AL8" authorId="8" shapeId="0" xr:uid="{B2572E6F-40CC-4FA7-9340-8AC8902D6330}">
      <text>
        <t>[Threaded comment]
Your version of Excel allows you to read this threaded comment; however, any edits to it will get removed if the file is opened in a newer version of Excel. Learn more: https://go.microsoft.com/fwlink/?linkid=870924
Comment:
    Expropriated from Merck in Germany</t>
      </text>
    </comment>
    <comment ref="AL9" authorId="9" shapeId="0" xr:uid="{C7B21EC5-CCB1-4871-B59C-1D6C7B04AAA3}">
      <text>
        <t>[Threaded comment]
Your version of Excel allows you to read this threaded comment; however, any edits to it will get removed if the file is opened in a newer version of Excel. Learn more: https://go.microsoft.com/fwlink/?linkid=870924
Comment:
    Merger created Novartis in 1996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</author>
    <author>tc={9B5FCE99-C9B8-4295-8DA9-A162B9AF1829}</author>
  </authors>
  <commentList>
    <comment ref="DA21" authorId="0" shapeId="0" xr:uid="{DA18F625-6FD8-448F-A545-1F1908ACB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266m consensus</t>
        </r>
      </text>
    </comment>
    <comment ref="BO26" authorId="0" shapeId="0" xr:uid="{B2BE9396-5825-4BE7-B3C2-AD4180B21E1E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905 consensus</t>
        </r>
      </text>
    </comment>
    <comment ref="BQ35" authorId="0" shapeId="0" xr:uid="{E932D832-A0D4-461F-9F84-E6D0EDCD4316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506m consensus</t>
        </r>
      </text>
    </comment>
    <comment ref="CV45" authorId="0" shapeId="0" xr:uid="{3D296728-BD0F-43F5-9338-D9FA27CED6AA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167m consensus</t>
        </r>
      </text>
    </comment>
    <comment ref="AQ71" authorId="1" shapeId="0" xr:uid="{9B5FCE99-C9B8-4295-8DA9-A162B9AF18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launched in US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tc={D92D9A65-014E-44BC-BD63-8FFD745601DC}</author>
  </authors>
  <commentList>
    <comment ref="C7" authorId="0" shapeId="0" xr:uid="{D92D9A65-014E-44BC-BD63-8FFD745601DC}">
      <text>
        <t>[Threaded comment]
Your version of Excel allows you to read this threaded comment; however, any edits to it will get removed if the file is opened in a newer version of Excel. Learn more: https://go.microsoft.com/fwlink/?linkid=870924
Comment:
    Sanofi-Synthelabo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<sst xmlns="http://schemas.openxmlformats.org/spreadsheetml/2006/main" count="3752" uniqueCount="2230">
  <si>
    <t>Exarta</t>
  </si>
  <si>
    <t>Name</t>
  </si>
  <si>
    <t>Founded</t>
  </si>
  <si>
    <t>USD/DKK</t>
  </si>
  <si>
    <t>USD/CHF</t>
  </si>
  <si>
    <t>EUR/USD</t>
  </si>
  <si>
    <t>AUD/USD</t>
  </si>
  <si>
    <t>GBP/USD</t>
  </si>
  <si>
    <t>Ticker</t>
  </si>
  <si>
    <t>Price</t>
  </si>
  <si>
    <t>MC</t>
  </si>
  <si>
    <t>NC</t>
  </si>
  <si>
    <t>EV</t>
  </si>
  <si>
    <t>J&amp;J</t>
  </si>
  <si>
    <t>JNJ</t>
  </si>
  <si>
    <t>Q122</t>
  </si>
  <si>
    <t>AbbVie</t>
  </si>
  <si>
    <t>ABBV</t>
  </si>
  <si>
    <t>Eli Lilly</t>
  </si>
  <si>
    <t>LLY</t>
  </si>
  <si>
    <t>Roche</t>
  </si>
  <si>
    <t>Pfizer</t>
  </si>
  <si>
    <t>PFE</t>
  </si>
  <si>
    <t>Novo Nordisk</t>
  </si>
  <si>
    <t>NVO</t>
  </si>
  <si>
    <t>Merck</t>
  </si>
  <si>
    <t>MRK</t>
  </si>
  <si>
    <t>Novartis</t>
  </si>
  <si>
    <t>NVS</t>
  </si>
  <si>
    <t>Bristol-Myers</t>
  </si>
  <si>
    <t>BMY</t>
  </si>
  <si>
    <t>Amgen</t>
  </si>
  <si>
    <t>AMGN</t>
  </si>
  <si>
    <t>Sanofi</t>
  </si>
  <si>
    <t>SNY</t>
  </si>
  <si>
    <t>AstraZeneca</t>
  </si>
  <si>
    <t>AZN</t>
  </si>
  <si>
    <t>GSK</t>
  </si>
  <si>
    <t>GSK US</t>
  </si>
  <si>
    <t>GSK LN</t>
  </si>
  <si>
    <t>Merck KgAa</t>
  </si>
  <si>
    <t>MRK DE</t>
  </si>
  <si>
    <t>CSL</t>
  </si>
  <si>
    <t>Gilead</t>
  </si>
  <si>
    <t>GILD</t>
  </si>
  <si>
    <t>Vertex</t>
  </si>
  <si>
    <t>VRTX</t>
  </si>
  <si>
    <t>Incyte</t>
  </si>
  <si>
    <t>INCY</t>
  </si>
  <si>
    <t>Regeneron</t>
  </si>
  <si>
    <t>REGN</t>
  </si>
  <si>
    <t>Moderna</t>
  </si>
  <si>
    <t>MRNA</t>
  </si>
  <si>
    <t>Chugai</t>
  </si>
  <si>
    <t>4519 JP</t>
  </si>
  <si>
    <t>Alnylam</t>
  </si>
  <si>
    <t>ALNY</t>
  </si>
  <si>
    <t>Genmab</t>
  </si>
  <si>
    <t>GMAB</t>
  </si>
  <si>
    <t>Takeda</t>
  </si>
  <si>
    <t>TAK</t>
  </si>
  <si>
    <t>Argenx</t>
  </si>
  <si>
    <t>ARGX</t>
  </si>
  <si>
    <t>Baxter</t>
  </si>
  <si>
    <t>BAX</t>
  </si>
  <si>
    <t>Otsuka</t>
  </si>
  <si>
    <t>4578 JP</t>
  </si>
  <si>
    <t>Biomarin</t>
  </si>
  <si>
    <t>BMRN</t>
  </si>
  <si>
    <t>Seagen</t>
  </si>
  <si>
    <t>SGEN</t>
  </si>
  <si>
    <t>BioNTech</t>
  </si>
  <si>
    <t>BNTX</t>
  </si>
  <si>
    <t>Viatris</t>
  </si>
  <si>
    <t>VTRS</t>
  </si>
  <si>
    <t>Royalty Pharma</t>
  </si>
  <si>
    <t>RPRX</t>
  </si>
  <si>
    <t>Astellas</t>
  </si>
  <si>
    <t>4503 JP</t>
  </si>
  <si>
    <t>Daiichi Sankyo</t>
  </si>
  <si>
    <t>4568 JP</t>
  </si>
  <si>
    <t>Grifols</t>
  </si>
  <si>
    <t>GRFS</t>
  </si>
  <si>
    <t>Biohaven</t>
  </si>
  <si>
    <t>BHVN</t>
  </si>
  <si>
    <t>United</t>
  </si>
  <si>
    <t>UTHR</t>
  </si>
  <si>
    <t>Neurocrine</t>
  </si>
  <si>
    <t>NBIX</t>
  </si>
  <si>
    <t>Jazz</t>
  </si>
  <si>
    <t>JAZZ</t>
  </si>
  <si>
    <t>Teva</t>
  </si>
  <si>
    <t>TEVA</t>
  </si>
  <si>
    <t>Rocket</t>
  </si>
  <si>
    <t>RCKT</t>
  </si>
  <si>
    <t>Halozyme</t>
  </si>
  <si>
    <t>HALO</t>
  </si>
  <si>
    <t>Ionis</t>
  </si>
  <si>
    <t>IONS</t>
  </si>
  <si>
    <t>Horizon</t>
  </si>
  <si>
    <t>Travere</t>
  </si>
  <si>
    <t>TVTX</t>
  </si>
  <si>
    <t>Vor</t>
  </si>
  <si>
    <t>VOR</t>
  </si>
  <si>
    <t>Vir</t>
  </si>
  <si>
    <t>VIR</t>
  </si>
  <si>
    <t>Xencor</t>
  </si>
  <si>
    <t>XNCR</t>
  </si>
  <si>
    <t>Arrowhead</t>
  </si>
  <si>
    <t>ARWR</t>
  </si>
  <si>
    <t>Organon</t>
  </si>
  <si>
    <t>OGN</t>
  </si>
  <si>
    <t>Dr. Reddy's</t>
  </si>
  <si>
    <t>RDY</t>
  </si>
  <si>
    <t>Legend Biotech</t>
  </si>
  <si>
    <t>LEGN</t>
  </si>
  <si>
    <t>CRISPR</t>
  </si>
  <si>
    <t>CRSP</t>
  </si>
  <si>
    <t>Exelixis</t>
  </si>
  <si>
    <t>EXEL</t>
  </si>
  <si>
    <t>BLCO</t>
  </si>
  <si>
    <t>Acadia</t>
  </si>
  <si>
    <t>ACAD</t>
  </si>
  <si>
    <t>Sarepta</t>
  </si>
  <si>
    <t>SRPT</t>
  </si>
  <si>
    <t>Intra-Cellular</t>
  </si>
  <si>
    <t>ITCI</t>
  </si>
  <si>
    <t>Perrigo</t>
  </si>
  <si>
    <t>PRGO</t>
  </si>
  <si>
    <t>Apellis</t>
  </si>
  <si>
    <t>APLS</t>
  </si>
  <si>
    <t>Alkermes</t>
  </si>
  <si>
    <t>ALKS</t>
  </si>
  <si>
    <t>Ascendis</t>
  </si>
  <si>
    <t>ASND</t>
  </si>
  <si>
    <t>Lantheus</t>
  </si>
  <si>
    <t>LNTH</t>
  </si>
  <si>
    <t>Evotec</t>
  </si>
  <si>
    <t>EVO</t>
  </si>
  <si>
    <t>Ginkgo</t>
  </si>
  <si>
    <t>DNA</t>
  </si>
  <si>
    <t>Intellia</t>
  </si>
  <si>
    <t>NTLA</t>
  </si>
  <si>
    <t>Cerevel</t>
  </si>
  <si>
    <t>Ultragenyx</t>
  </si>
  <si>
    <t>RARE</t>
  </si>
  <si>
    <t>Turning Point</t>
  </si>
  <si>
    <t>TPTX</t>
  </si>
  <si>
    <t>Blueprint</t>
  </si>
  <si>
    <t>BPMC</t>
  </si>
  <si>
    <t>Zai Lab</t>
  </si>
  <si>
    <t>ZLAB</t>
  </si>
  <si>
    <t>AbCellera</t>
  </si>
  <si>
    <t>ABCL</t>
  </si>
  <si>
    <t>Beam</t>
  </si>
  <si>
    <t>BEAM</t>
  </si>
  <si>
    <t>CureVac</t>
  </si>
  <si>
    <t>CVAC</t>
  </si>
  <si>
    <t>Bausch Health</t>
  </si>
  <si>
    <t>BHC</t>
  </si>
  <si>
    <t>Amicus</t>
  </si>
  <si>
    <t>FOLD</t>
  </si>
  <si>
    <t>Harmony</t>
  </si>
  <si>
    <t>HRMY</t>
  </si>
  <si>
    <t>EQRx</t>
  </si>
  <si>
    <t>EQRX</t>
  </si>
  <si>
    <t>PCRX</t>
  </si>
  <si>
    <t>Fate</t>
  </si>
  <si>
    <t>FATE</t>
  </si>
  <si>
    <t>Corcept</t>
  </si>
  <si>
    <t>CORT</t>
  </si>
  <si>
    <t>Insmed</t>
  </si>
  <si>
    <t>INSM</t>
  </si>
  <si>
    <t>Relay</t>
  </si>
  <si>
    <t>RLAY</t>
  </si>
  <si>
    <t>PTC</t>
  </si>
  <si>
    <t>PTCT</t>
  </si>
  <si>
    <t>Sage</t>
  </si>
  <si>
    <t>SAGE</t>
  </si>
  <si>
    <t>Arvinas</t>
  </si>
  <si>
    <t>ARVN</t>
  </si>
  <si>
    <t>BCRX</t>
  </si>
  <si>
    <t>ChemoCentryx</t>
  </si>
  <si>
    <t>Ironwood</t>
  </si>
  <si>
    <t>IRWD</t>
  </si>
  <si>
    <t>Global Blood</t>
  </si>
  <si>
    <t>Xenon</t>
  </si>
  <si>
    <t>XENE</t>
  </si>
  <si>
    <t>Exscientia</t>
  </si>
  <si>
    <t>EXAI</t>
  </si>
  <si>
    <t>Allogene</t>
  </si>
  <si>
    <t>ALLO</t>
  </si>
  <si>
    <t>Opko</t>
  </si>
  <si>
    <t>OPK</t>
  </si>
  <si>
    <t>Krystal</t>
  </si>
  <si>
    <t>KRYS</t>
  </si>
  <si>
    <t>Aurinia</t>
  </si>
  <si>
    <t>AUPH</t>
  </si>
  <si>
    <t>Immunocore</t>
  </si>
  <si>
    <t>IMCR</t>
  </si>
  <si>
    <t>Amphastar</t>
  </si>
  <si>
    <t>AMPH</t>
  </si>
  <si>
    <t>Recursion</t>
  </si>
  <si>
    <t>RXRX</t>
  </si>
  <si>
    <t>Emergent</t>
  </si>
  <si>
    <t>EBS</t>
  </si>
  <si>
    <t>Supernus</t>
  </si>
  <si>
    <t>SUPN</t>
  </si>
  <si>
    <t>ImmunityBio</t>
  </si>
  <si>
    <t>IBRX</t>
  </si>
  <si>
    <t>Iovance</t>
  </si>
  <si>
    <t>IOVA</t>
  </si>
  <si>
    <t>Revolution</t>
  </si>
  <si>
    <t>RVMD</t>
  </si>
  <si>
    <t>Lyell</t>
  </si>
  <si>
    <t>LYEL</t>
  </si>
  <si>
    <t>Taro</t>
  </si>
  <si>
    <t>TARO</t>
  </si>
  <si>
    <t>Novavax</t>
  </si>
  <si>
    <t>NVAX</t>
  </si>
  <si>
    <t>Zentalis</t>
  </si>
  <si>
    <t>ZNTL</t>
  </si>
  <si>
    <t>Dynavax</t>
  </si>
  <si>
    <t>DVAX</t>
  </si>
  <si>
    <t>Mereo</t>
  </si>
  <si>
    <t>MREO</t>
  </si>
  <si>
    <t>Aldeyra</t>
  </si>
  <si>
    <t>ALDX</t>
  </si>
  <si>
    <t>Catalyst</t>
  </si>
  <si>
    <t>CPRX</t>
  </si>
  <si>
    <t>Adicet</t>
  </si>
  <si>
    <t>ACET</t>
  </si>
  <si>
    <t>Liquidia</t>
  </si>
  <si>
    <t>LQDA</t>
  </si>
  <si>
    <t>MeiraGTx</t>
  </si>
  <si>
    <t>MGTX</t>
  </si>
  <si>
    <t>Biora</t>
  </si>
  <si>
    <t>BIOR</t>
  </si>
  <si>
    <t>Tracon</t>
  </si>
  <si>
    <t>TCON</t>
  </si>
  <si>
    <t>PhaseBio</t>
  </si>
  <si>
    <t>PHAS</t>
  </si>
  <si>
    <t>CVRx</t>
  </si>
  <si>
    <t>CVRX</t>
  </si>
  <si>
    <t>Graybug</t>
  </si>
  <si>
    <t>GRAY</t>
  </si>
  <si>
    <t>Humanigen</t>
  </si>
  <si>
    <t>HGEN</t>
  </si>
  <si>
    <t>Marinus</t>
  </si>
  <si>
    <t>MRNS</t>
  </si>
  <si>
    <t>Aerie</t>
  </si>
  <si>
    <t>Bayer</t>
  </si>
  <si>
    <t>BAYN</t>
  </si>
  <si>
    <t>Samsung Biologics</t>
  </si>
  <si>
    <t>207940 KS</t>
  </si>
  <si>
    <t>WuXi Biologics</t>
  </si>
  <si>
    <t>2269 HK</t>
  </si>
  <si>
    <t>Jiangsu Hengrui</t>
  </si>
  <si>
    <t>600276 CH</t>
  </si>
  <si>
    <t>Biogen</t>
  </si>
  <si>
    <t>BIIB</t>
  </si>
  <si>
    <t>Sun Pharmaceuticals</t>
  </si>
  <si>
    <t>SUNP</t>
  </si>
  <si>
    <t>Zhangzhou Pientzehuang</t>
  </si>
  <si>
    <t>600436 CH</t>
  </si>
  <si>
    <t>Shionogi</t>
  </si>
  <si>
    <t>4507 JP</t>
  </si>
  <si>
    <t>UCB</t>
  </si>
  <si>
    <t>Ono</t>
  </si>
  <si>
    <t>4528 JP</t>
  </si>
  <si>
    <t>Eisai</t>
  </si>
  <si>
    <t>4523 JP</t>
  </si>
  <si>
    <t>Kyowa Kirin</t>
  </si>
  <si>
    <t>4151 JP</t>
  </si>
  <si>
    <t>Chongqing Zhifei</t>
  </si>
  <si>
    <t>300122 CH</t>
  </si>
  <si>
    <t>Affilogic</t>
  </si>
  <si>
    <t>Faeth Therapeutics</t>
  </si>
  <si>
    <t>Manifold Bio</t>
  </si>
  <si>
    <t>Boston, MA</t>
  </si>
  <si>
    <t>HQ</t>
  </si>
  <si>
    <t>Avista Therapeutics</t>
  </si>
  <si>
    <t>Main</t>
  </si>
  <si>
    <t>InnoRNA</t>
  </si>
  <si>
    <t>Veru</t>
  </si>
  <si>
    <t>VERU</t>
  </si>
  <si>
    <t>Empirico</t>
  </si>
  <si>
    <t>Everest Medicines</t>
  </si>
  <si>
    <t>1952 HK</t>
  </si>
  <si>
    <t>BioCryst</t>
  </si>
  <si>
    <t>Acquiree</t>
  </si>
  <si>
    <t>Acquirer</t>
  </si>
  <si>
    <t>Hikma</t>
  </si>
  <si>
    <t>HIK LN</t>
  </si>
  <si>
    <t>Siga</t>
  </si>
  <si>
    <t>SIGA</t>
  </si>
  <si>
    <t>SO</t>
  </si>
  <si>
    <t>Q222</t>
  </si>
  <si>
    <t>Altimmune</t>
  </si>
  <si>
    <t>ALT</t>
  </si>
  <si>
    <t>Atai</t>
  </si>
  <si>
    <t>ATAI</t>
  </si>
  <si>
    <t>Last</t>
  </si>
  <si>
    <t>Innovent</t>
  </si>
  <si>
    <t>1801 HK</t>
  </si>
  <si>
    <t>I-Mab</t>
  </si>
  <si>
    <t>IMAB</t>
  </si>
  <si>
    <t>EPS</t>
  </si>
  <si>
    <t>EV/EPS</t>
  </si>
  <si>
    <t>NPV</t>
  </si>
  <si>
    <t>Discount</t>
  </si>
  <si>
    <t>Upside</t>
  </si>
  <si>
    <t>ROIC</t>
  </si>
  <si>
    <t>Terminal</t>
  </si>
  <si>
    <t>NOVOB</t>
  </si>
  <si>
    <t>MiroBio</t>
  </si>
  <si>
    <t>Consideration</t>
  </si>
  <si>
    <t>Avalo</t>
  </si>
  <si>
    <t>AVTX</t>
  </si>
  <si>
    <t>1859, Inc.</t>
  </si>
  <si>
    <t>Round</t>
  </si>
  <si>
    <t>Series A</t>
  </si>
  <si>
    <t>Size</t>
  </si>
  <si>
    <t>Investors</t>
  </si>
  <si>
    <t>Northpond Ventures, OMX Ventures</t>
  </si>
  <si>
    <t>40m</t>
  </si>
  <si>
    <t>Date</t>
  </si>
  <si>
    <t>San Diego, CA</t>
  </si>
  <si>
    <t>Absci</t>
  </si>
  <si>
    <t>ABSI</t>
  </si>
  <si>
    <t>x</t>
  </si>
  <si>
    <t>4502 JP</t>
  </si>
  <si>
    <t>Arcellx</t>
  </si>
  <si>
    <t>ACLX</t>
  </si>
  <si>
    <t>SyntheticGestalt</t>
  </si>
  <si>
    <t>11m</t>
  </si>
  <si>
    <t>Neomorph</t>
  </si>
  <si>
    <t>Moonlake Immunotherapeutics</t>
  </si>
  <si>
    <t>IL-17 A/F mab</t>
  </si>
  <si>
    <t>Iveric</t>
  </si>
  <si>
    <t>ISEE</t>
  </si>
  <si>
    <t>Ablynx</t>
  </si>
  <si>
    <t>Centocor</t>
  </si>
  <si>
    <t>Medarex</t>
  </si>
  <si>
    <t>Cel-Sci</t>
  </si>
  <si>
    <t>CVM</t>
  </si>
  <si>
    <t>Roivant</t>
  </si>
  <si>
    <t>Cytodyn</t>
  </si>
  <si>
    <t>CYDY</t>
  </si>
  <si>
    <t>Celltrion</t>
  </si>
  <si>
    <t>068270 KS</t>
  </si>
  <si>
    <t>Vifor</t>
  </si>
  <si>
    <t>Divi Labs</t>
  </si>
  <si>
    <t>DIVI IN</t>
  </si>
  <si>
    <t>CSPC</t>
  </si>
  <si>
    <t>1093 HK</t>
  </si>
  <si>
    <t>Yunnan Baiyao</t>
  </si>
  <si>
    <t>000538 CH</t>
  </si>
  <si>
    <t>Cipla</t>
  </si>
  <si>
    <t>CIPLA</t>
  </si>
  <si>
    <t>Recordati</t>
  </si>
  <si>
    <t>REC IM</t>
  </si>
  <si>
    <t>Ipsen</t>
  </si>
  <si>
    <t>IPN</t>
  </si>
  <si>
    <t>SK Bioscience</t>
  </si>
  <si>
    <t>302440 KS</t>
  </si>
  <si>
    <t>Shanghai Junshi</t>
  </si>
  <si>
    <t>1877 HK</t>
  </si>
  <si>
    <t>Orion</t>
  </si>
  <si>
    <t>ORNBV FH</t>
  </si>
  <si>
    <t>USD/JPY</t>
  </si>
  <si>
    <t>Springworks</t>
  </si>
  <si>
    <t>SWTX</t>
  </si>
  <si>
    <t>CanSino</t>
  </si>
  <si>
    <t>6185 HK</t>
  </si>
  <si>
    <t>Bharat</t>
  </si>
  <si>
    <t>BIBCL</t>
  </si>
  <si>
    <t>Shanghai Fosun</t>
  </si>
  <si>
    <t>600196 CH</t>
  </si>
  <si>
    <t>2196 HK</t>
  </si>
  <si>
    <t>Meissa Vaccines</t>
  </si>
  <si>
    <t>Vivoryon</t>
  </si>
  <si>
    <t>VVY</t>
  </si>
  <si>
    <t>Wren Therapeutics</t>
  </si>
  <si>
    <t>2019?</t>
  </si>
  <si>
    <t>18m GBP</t>
  </si>
  <si>
    <t>Alzheimer's amyloid aggregation inhibitor</t>
  </si>
  <si>
    <t>Aria Pharmaceuticals</t>
  </si>
  <si>
    <t>FogPharma</t>
  </si>
  <si>
    <t>Series C</t>
  </si>
  <si>
    <t>Beta-Catenin</t>
  </si>
  <si>
    <t>Pasithea</t>
  </si>
  <si>
    <t>KTTA</t>
  </si>
  <si>
    <t>USD/HKD</t>
  </si>
  <si>
    <t>Cellarity</t>
  </si>
  <si>
    <t>KRW/USD</t>
  </si>
  <si>
    <t>Medivation</t>
  </si>
  <si>
    <t>Array</t>
  </si>
  <si>
    <t>Arena</t>
  </si>
  <si>
    <t>Changchun High Tech</t>
  </si>
  <si>
    <t>000661 CH</t>
  </si>
  <si>
    <t>Huadong Medicine</t>
  </si>
  <si>
    <t>000963 CH</t>
  </si>
  <si>
    <t>Sino Biopharm</t>
  </si>
  <si>
    <t>1177 HK</t>
  </si>
  <si>
    <t>Hansoh</t>
  </si>
  <si>
    <t>3692 HK</t>
  </si>
  <si>
    <t>Walvax Biotech</t>
  </si>
  <si>
    <t>300142 CH</t>
  </si>
  <si>
    <t>Beijing Tongren</t>
  </si>
  <si>
    <t>600085 CH</t>
  </si>
  <si>
    <t>Abyssinia Biologics</t>
  </si>
  <si>
    <t>Bioverativ</t>
  </si>
  <si>
    <t>AZN LN</t>
  </si>
  <si>
    <t>Intima Bioscience</t>
  </si>
  <si>
    <t>Q322</t>
  </si>
  <si>
    <t>Noema Pharma</t>
  </si>
  <si>
    <t>CSL AU</t>
  </si>
  <si>
    <t>NOVN VX</t>
  </si>
  <si>
    <t>Viridian</t>
  </si>
  <si>
    <t>VRDN</t>
  </si>
  <si>
    <t>Microgen</t>
  </si>
  <si>
    <t>Microgen.ru</t>
  </si>
  <si>
    <t>Notes</t>
  </si>
  <si>
    <t>Tricida</t>
  </si>
  <si>
    <t>Entrada</t>
  </si>
  <si>
    <t>TRDA</t>
  </si>
  <si>
    <t>Axsome</t>
  </si>
  <si>
    <t>AXSM</t>
  </si>
  <si>
    <t>USD/INR</t>
  </si>
  <si>
    <t>DJS Antibodies</t>
  </si>
  <si>
    <t>Imago (IMGO)</t>
  </si>
  <si>
    <t>Sichuan Kelun</t>
  </si>
  <si>
    <t>USD/CNY</t>
  </si>
  <si>
    <t>RegenxBio</t>
  </si>
  <si>
    <t>RGNX</t>
  </si>
  <si>
    <t>Metagenomi</t>
  </si>
  <si>
    <t>Insitro</t>
  </si>
  <si>
    <t>South San Francisco, CA</t>
  </si>
  <si>
    <t>ReCode Therapeutics</t>
  </si>
  <si>
    <t>Grey Wolf Therapeutics</t>
  </si>
  <si>
    <t>Elicio Therapeutics</t>
  </si>
  <si>
    <t>Amolyt Pharma</t>
  </si>
  <si>
    <t>Ribon Therapeutics</t>
  </si>
  <si>
    <t>Atomwise</t>
  </si>
  <si>
    <t>Acelyrin</t>
  </si>
  <si>
    <t>Nimbus</t>
  </si>
  <si>
    <t>Eikon Therapeutics</t>
  </si>
  <si>
    <t>ArsenalBio</t>
  </si>
  <si>
    <t>Akamis Bio</t>
  </si>
  <si>
    <t>Structure Therapeutics</t>
  </si>
  <si>
    <t>Treeline Biosciences</t>
  </si>
  <si>
    <t>Tmunity Therapeutics</t>
  </si>
  <si>
    <t>Tessera Therapeutics</t>
  </si>
  <si>
    <t>A2 Biotherapeutics</t>
  </si>
  <si>
    <t>Gilgamesh Pharmaceuticals</t>
  </si>
  <si>
    <t>Evozyne</t>
  </si>
  <si>
    <t>Capsida</t>
  </si>
  <si>
    <t>Carisma Therapeutics</t>
  </si>
  <si>
    <t>Forge Biologics</t>
  </si>
  <si>
    <t>LatchBio</t>
  </si>
  <si>
    <t>Goldfinch Biopharma</t>
  </si>
  <si>
    <t>Pathalys Pharma</t>
  </si>
  <si>
    <t>Kernel</t>
  </si>
  <si>
    <t>Cardurion</t>
  </si>
  <si>
    <t>Dyno Therapeutics</t>
  </si>
  <si>
    <t>BigHat Biosciences</t>
  </si>
  <si>
    <t>Shape Therapeutics</t>
  </si>
  <si>
    <t>Alloy Therapeutics</t>
  </si>
  <si>
    <t>Scribe Therapeutics</t>
  </si>
  <si>
    <t>Orna Therapeutics</t>
  </si>
  <si>
    <t>Arch Oncology</t>
  </si>
  <si>
    <t>Remix Therapeutics</t>
  </si>
  <si>
    <t>XtalPi</t>
  </si>
  <si>
    <t>Biosplice Therapeutics</t>
  </si>
  <si>
    <t>ElevateBio</t>
  </si>
  <si>
    <t>Abogen Biosciences</t>
  </si>
  <si>
    <t>Mojave Pharma</t>
  </si>
  <si>
    <t>Laronde</t>
  </si>
  <si>
    <t>Kallyope</t>
  </si>
  <si>
    <t>Kriya Therapeutics</t>
  </si>
  <si>
    <t>Genor Biopharma</t>
  </si>
  <si>
    <t>Generate Biomedicines</t>
  </si>
  <si>
    <t>RayzeBio</t>
  </si>
  <si>
    <t>Insilico Medicine</t>
  </si>
  <si>
    <t>Odyssey Therapeutics</t>
  </si>
  <si>
    <t>Maze Therapeutics</t>
  </si>
  <si>
    <t>TauRx Pharmaceuticals</t>
  </si>
  <si>
    <t>Vividion Therapeutics</t>
  </si>
  <si>
    <t>Tizona Therapeutics</t>
  </si>
  <si>
    <t>Ventus Therapeutics</t>
  </si>
  <si>
    <t>Affinivax</t>
  </si>
  <si>
    <t>Pionyr Immunotherapeutics</t>
  </si>
  <si>
    <t>Areteia Therapeutics</t>
  </si>
  <si>
    <t>Alvotech</t>
  </si>
  <si>
    <t>ALVO</t>
  </si>
  <si>
    <t>Altos</t>
  </si>
  <si>
    <t>ARCH, Bezos</t>
  </si>
  <si>
    <t>Intarcia</t>
  </si>
  <si>
    <t>Chinese RNA</t>
  </si>
  <si>
    <t>Reneo</t>
  </si>
  <si>
    <t>RPHM</t>
  </si>
  <si>
    <t>TG Therapeutics</t>
  </si>
  <si>
    <t>TGTX</t>
  </si>
  <si>
    <t>Provention</t>
  </si>
  <si>
    <t>PRVB</t>
  </si>
  <si>
    <t>Erasca</t>
  </si>
  <si>
    <t>ERAS</t>
  </si>
  <si>
    <t>4D Molecular</t>
  </si>
  <si>
    <t>FDMT</t>
  </si>
  <si>
    <t>GMAB DC</t>
  </si>
  <si>
    <t>Kiora</t>
  </si>
  <si>
    <t>KPRX</t>
  </si>
  <si>
    <t>Q422</t>
  </si>
  <si>
    <t>HotSpot Therapeutics</t>
  </si>
  <si>
    <t>ABBV deal</t>
  </si>
  <si>
    <t>Immunome</t>
  </si>
  <si>
    <t>Anima Biotech</t>
  </si>
  <si>
    <t>Bausch + Lomb</t>
  </si>
  <si>
    <t>Assertio</t>
  </si>
  <si>
    <t>ASRT</t>
  </si>
  <si>
    <t>ELVN</t>
  </si>
  <si>
    <t>Enliven</t>
  </si>
  <si>
    <t>ZyVersa</t>
  </si>
  <si>
    <t>ZVSA</t>
  </si>
  <si>
    <t>Xbiotech</t>
  </si>
  <si>
    <t>XBIT</t>
  </si>
  <si>
    <t>Annovis</t>
  </si>
  <si>
    <t>ANVS</t>
  </si>
  <si>
    <t>Fusion</t>
  </si>
  <si>
    <t>FUSN</t>
  </si>
  <si>
    <t>Tenaya</t>
  </si>
  <si>
    <t>TNYA</t>
  </si>
  <si>
    <t>Praxis Precision Medicines</t>
  </si>
  <si>
    <t>PRAX</t>
  </si>
  <si>
    <t>Opiant Pharma</t>
  </si>
  <si>
    <t>OPNT</t>
  </si>
  <si>
    <t>ESSA</t>
  </si>
  <si>
    <t>EPIX</t>
  </si>
  <si>
    <t>Sol-Gel</t>
  </si>
  <si>
    <t>SLGL</t>
  </si>
  <si>
    <t>Kronos</t>
  </si>
  <si>
    <t>KRON</t>
  </si>
  <si>
    <t>Sesen Bio</t>
  </si>
  <si>
    <t>SESN</t>
  </si>
  <si>
    <t>Orchestra Biomed</t>
  </si>
  <si>
    <t>OBIO</t>
  </si>
  <si>
    <t>Lyra</t>
  </si>
  <si>
    <t>LYRA</t>
  </si>
  <si>
    <t>Olema</t>
  </si>
  <si>
    <t>OLMA</t>
  </si>
  <si>
    <t>CytomX</t>
  </si>
  <si>
    <t>CTMX</t>
  </si>
  <si>
    <t>Alaunos Therapeutics</t>
  </si>
  <si>
    <t>TCRT</t>
  </si>
  <si>
    <t>Taysha Gene Therapies</t>
  </si>
  <si>
    <t>TSHA</t>
  </si>
  <si>
    <t>Urogen</t>
  </si>
  <si>
    <t>URGN</t>
  </si>
  <si>
    <t>Lava</t>
  </si>
  <si>
    <t>LVTX</t>
  </si>
  <si>
    <t>OptiNose</t>
  </si>
  <si>
    <t>OPTN</t>
  </si>
  <si>
    <t>F-Star</t>
  </si>
  <si>
    <t>FSTX</t>
  </si>
  <si>
    <t>INMB</t>
  </si>
  <si>
    <t>INmune Bio</t>
  </si>
  <si>
    <t>Athira Pharma</t>
  </si>
  <si>
    <t>ATHA</t>
  </si>
  <si>
    <t>Medicinova</t>
  </si>
  <si>
    <t>MNOV</t>
  </si>
  <si>
    <t>Trevi</t>
  </si>
  <si>
    <t>TRVI</t>
  </si>
  <si>
    <t>Theratechnologies</t>
  </si>
  <si>
    <t>THTX</t>
  </si>
  <si>
    <t>VBI Vaccines</t>
  </si>
  <si>
    <t>VBIV</t>
  </si>
  <si>
    <t>Omeros</t>
  </si>
  <si>
    <t>OMER</t>
  </si>
  <si>
    <t>Ovid</t>
  </si>
  <si>
    <t>OVID</t>
  </si>
  <si>
    <t>Disc Medicine</t>
  </si>
  <si>
    <t>IRON</t>
  </si>
  <si>
    <t>Frequency</t>
  </si>
  <si>
    <t>FREQ</t>
  </si>
  <si>
    <t>Ryvu Therapeutics</t>
  </si>
  <si>
    <t>RVU</t>
  </si>
  <si>
    <t>Aceragen</t>
  </si>
  <si>
    <t>ACGN</t>
  </si>
  <si>
    <t>Ayala</t>
  </si>
  <si>
    <t>ADXS</t>
  </si>
  <si>
    <t>Shanghai Pharma</t>
  </si>
  <si>
    <t>601607 CH</t>
  </si>
  <si>
    <t>Celltrion Health</t>
  </si>
  <si>
    <t>091990 KS</t>
  </si>
  <si>
    <t>Karuna</t>
  </si>
  <si>
    <t>Mirati</t>
  </si>
  <si>
    <t>MRTX</t>
  </si>
  <si>
    <t>Series B</t>
  </si>
  <si>
    <t>100m</t>
  </si>
  <si>
    <t>45m</t>
  </si>
  <si>
    <t>Series A-2</t>
  </si>
  <si>
    <t>Camp4 Therapeutics</t>
  </si>
  <si>
    <t>Series A-1</t>
  </si>
  <si>
    <t>30m</t>
  </si>
  <si>
    <t>Cambridge, MA</t>
  </si>
  <si>
    <t>Antiverse</t>
  </si>
  <si>
    <t>GPCR antibodies</t>
  </si>
  <si>
    <t>Radiopharma</t>
  </si>
  <si>
    <t>Series D</t>
  </si>
  <si>
    <t>venBio, Versant</t>
  </si>
  <si>
    <t>Venrock</t>
  </si>
  <si>
    <t>Sofinnova, Viking, Wellington</t>
  </si>
  <si>
    <t>Ensoma</t>
  </si>
  <si>
    <t>70m</t>
  </si>
  <si>
    <t>85m</t>
  </si>
  <si>
    <t>Catalio, Solasta, QIA, 5AM, Cormorant</t>
  </si>
  <si>
    <t>SetPoint Medical</t>
  </si>
  <si>
    <t>42m</t>
  </si>
  <si>
    <t>Syndax</t>
  </si>
  <si>
    <t>SNDX</t>
  </si>
  <si>
    <t>Q1</t>
  </si>
  <si>
    <t>Q2</t>
  </si>
  <si>
    <t>Q3</t>
  </si>
  <si>
    <t>Q4</t>
  </si>
  <si>
    <t>Q5</t>
  </si>
  <si>
    <t>Q6</t>
  </si>
  <si>
    <t>Mounjaro</t>
  </si>
  <si>
    <t>Launch</t>
  </si>
  <si>
    <t>US launch 6/2022. First reported quarter Q222</t>
  </si>
  <si>
    <t>Emgality</t>
  </si>
  <si>
    <t>Company</t>
  </si>
  <si>
    <t>Verzenio</t>
  </si>
  <si>
    <t>Olumiant</t>
  </si>
  <si>
    <t>Tyvyt</t>
  </si>
  <si>
    <t>Retevmo</t>
  </si>
  <si>
    <t>Taltz</t>
  </si>
  <si>
    <t>Basaglar</t>
  </si>
  <si>
    <t>Trulicity</t>
  </si>
  <si>
    <t>Jardiance</t>
  </si>
  <si>
    <t>Cyramza</t>
  </si>
  <si>
    <t>Effient</t>
  </si>
  <si>
    <t>Byetta</t>
  </si>
  <si>
    <t>Alimta</t>
  </si>
  <si>
    <t>Cymbalta</t>
  </si>
  <si>
    <t>Q123</t>
  </si>
  <si>
    <t>Zytiga</t>
  </si>
  <si>
    <t>Imbruvica</t>
  </si>
  <si>
    <t>Darzalex</t>
  </si>
  <si>
    <t>Tremfya</t>
  </si>
  <si>
    <t>Keytruda</t>
  </si>
  <si>
    <t>Gardasil</t>
  </si>
  <si>
    <t>Januvia</t>
  </si>
  <si>
    <t>Janumet</t>
  </si>
  <si>
    <t>Januvia+Janumet</t>
  </si>
  <si>
    <t>Bridion</t>
  </si>
  <si>
    <t>MRK/SGP</t>
  </si>
  <si>
    <t>Isentress</t>
  </si>
  <si>
    <t>SLRN</t>
  </si>
  <si>
    <t>Structure</t>
  </si>
  <si>
    <t>GPCR</t>
  </si>
  <si>
    <t>Mineralys</t>
  </si>
  <si>
    <t>MLYS</t>
  </si>
  <si>
    <t>Third Harmonic</t>
  </si>
  <si>
    <t>THRD</t>
  </si>
  <si>
    <t>Ventyx</t>
  </si>
  <si>
    <t>VTYX</t>
  </si>
  <si>
    <t>Dice</t>
  </si>
  <si>
    <t>DICE</t>
  </si>
  <si>
    <t>Morphic</t>
  </si>
  <si>
    <t>MORF</t>
  </si>
  <si>
    <t>MoonLake</t>
  </si>
  <si>
    <t>MLTX</t>
  </si>
  <si>
    <t>Pliant</t>
  </si>
  <si>
    <t>PLRX</t>
  </si>
  <si>
    <t>Madrigal</t>
  </si>
  <si>
    <t>MDGL</t>
  </si>
  <si>
    <t>Lundbeck</t>
  </si>
  <si>
    <t>Prothena</t>
  </si>
  <si>
    <t>PRTA</t>
  </si>
  <si>
    <t>Denali</t>
  </si>
  <si>
    <t>DNLI</t>
  </si>
  <si>
    <t>Cytokinetics</t>
  </si>
  <si>
    <t>CYTK</t>
  </si>
  <si>
    <t>Reata</t>
  </si>
  <si>
    <t>RETA</t>
  </si>
  <si>
    <t>002422 CH</t>
  </si>
  <si>
    <t>ROIV</t>
  </si>
  <si>
    <t>Akero</t>
  </si>
  <si>
    <t>AKRO</t>
  </si>
  <si>
    <t>Immunovant</t>
  </si>
  <si>
    <t>IMVT</t>
  </si>
  <si>
    <t>Nuvalent</t>
  </si>
  <si>
    <t>NUVL</t>
  </si>
  <si>
    <t>Bridgebio</t>
  </si>
  <si>
    <t>BBIO</t>
  </si>
  <si>
    <t>Idorsia</t>
  </si>
  <si>
    <t>IDIA</t>
  </si>
  <si>
    <t>Fibrogen</t>
  </si>
  <si>
    <t>FGEN</t>
  </si>
  <si>
    <t>Kymera</t>
  </si>
  <si>
    <t>KYMR</t>
  </si>
  <si>
    <t>Celldex</t>
  </si>
  <si>
    <t>CLDX</t>
  </si>
  <si>
    <t>Summit</t>
  </si>
  <si>
    <t>SMMT</t>
  </si>
  <si>
    <t>Arcus</t>
  </si>
  <si>
    <t>RCUS</t>
  </si>
  <si>
    <t>Protagonist</t>
  </si>
  <si>
    <t>PTGX</t>
  </si>
  <si>
    <t>Agios</t>
  </si>
  <si>
    <t>AGIO</t>
  </si>
  <si>
    <t>Geron</t>
  </si>
  <si>
    <t>GERN</t>
  </si>
  <si>
    <t>JCR</t>
  </si>
  <si>
    <t>4552 JP</t>
  </si>
  <si>
    <t>Prime</t>
  </si>
  <si>
    <t>PRME</t>
  </si>
  <si>
    <t>Ligand</t>
  </si>
  <si>
    <t>LGND</t>
  </si>
  <si>
    <t>Chinook</t>
  </si>
  <si>
    <t>KDNY</t>
  </si>
  <si>
    <t>Alembic</t>
  </si>
  <si>
    <t>Keros</t>
  </si>
  <si>
    <t>KROS</t>
  </si>
  <si>
    <t>89Bio</t>
  </si>
  <si>
    <t>ETNB</t>
  </si>
  <si>
    <t>Crinetics</t>
  </si>
  <si>
    <t>CRNX</t>
  </si>
  <si>
    <t>Inhibrx</t>
  </si>
  <si>
    <t>INBX</t>
  </si>
  <si>
    <t>Biomea Fusion</t>
  </si>
  <si>
    <t>BMEA</t>
  </si>
  <si>
    <t>Avadel</t>
  </si>
  <si>
    <t>AVDL</t>
  </si>
  <si>
    <t>Sana</t>
  </si>
  <si>
    <t>SANA</t>
  </si>
  <si>
    <t>Ideaya</t>
  </si>
  <si>
    <t>IDYA</t>
  </si>
  <si>
    <t>Cosmo</t>
  </si>
  <si>
    <t>COPN</t>
  </si>
  <si>
    <t>Taimed</t>
  </si>
  <si>
    <t>4147 TT</t>
  </si>
  <si>
    <t>Deciphera</t>
  </si>
  <si>
    <t>Kissei</t>
  </si>
  <si>
    <t>4547 JP</t>
  </si>
  <si>
    <t>Mannkind</t>
  </si>
  <si>
    <t>MNKD</t>
  </si>
  <si>
    <t>Cymabay</t>
  </si>
  <si>
    <t>Uniqure</t>
  </si>
  <si>
    <t>QURE</t>
  </si>
  <si>
    <t>Day One</t>
  </si>
  <si>
    <t>DAWN</t>
  </si>
  <si>
    <t>Verve</t>
  </si>
  <si>
    <t>VERV</t>
  </si>
  <si>
    <t>Mirum</t>
  </si>
  <si>
    <t>MIRM</t>
  </si>
  <si>
    <t>Mochida</t>
  </si>
  <si>
    <t>4534 JP</t>
  </si>
  <si>
    <t>Replimmune</t>
  </si>
  <si>
    <t>REPL</t>
  </si>
  <si>
    <t>Ardelyx</t>
  </si>
  <si>
    <t>ARDX</t>
  </si>
  <si>
    <t>Kiniksa</t>
  </si>
  <si>
    <t>KNSA</t>
  </si>
  <si>
    <t>Merus</t>
  </si>
  <si>
    <t>MRUS</t>
  </si>
  <si>
    <t>Rhythm</t>
  </si>
  <si>
    <t>RYTM</t>
  </si>
  <si>
    <t>Cassava</t>
  </si>
  <si>
    <t>SAVA</t>
  </si>
  <si>
    <t>Valneva</t>
  </si>
  <si>
    <t>VAL FP</t>
  </si>
  <si>
    <t>Carsgen</t>
  </si>
  <si>
    <t>2171 HK</t>
  </si>
  <si>
    <t>Glenmark</t>
  </si>
  <si>
    <t>Zealand</t>
  </si>
  <si>
    <t>ZEAL DC</t>
  </si>
  <si>
    <t>Amylyx</t>
  </si>
  <si>
    <t>AMLX</t>
  </si>
  <si>
    <t>Pacira</t>
  </si>
  <si>
    <t>Dyne</t>
  </si>
  <si>
    <t>DYN</t>
  </si>
  <si>
    <t>Ascentage</t>
  </si>
  <si>
    <t>6855 HK</t>
  </si>
  <si>
    <t>Avidity</t>
  </si>
  <si>
    <t>Innoviva</t>
  </si>
  <si>
    <t>INVA</t>
  </si>
  <si>
    <t>COGT</t>
  </si>
  <si>
    <t>Cogent</t>
  </si>
  <si>
    <t>Collegium</t>
  </si>
  <si>
    <t>COLL</t>
  </si>
  <si>
    <t>Kura</t>
  </si>
  <si>
    <t>KURA</t>
  </si>
  <si>
    <t>Mersana</t>
  </si>
  <si>
    <t>MRSN</t>
  </si>
  <si>
    <t>Pharming</t>
  </si>
  <si>
    <t>Immatics</t>
  </si>
  <si>
    <t>IMTX</t>
  </si>
  <si>
    <t>Morphosys</t>
  </si>
  <si>
    <t>Adma</t>
  </si>
  <si>
    <t>ADMA</t>
  </si>
  <si>
    <t>Seres</t>
  </si>
  <si>
    <t>MCRB</t>
  </si>
  <si>
    <t>Enanta</t>
  </si>
  <si>
    <t>ENTA</t>
  </si>
  <si>
    <t>Towa</t>
  </si>
  <si>
    <t>4553 JP</t>
  </si>
  <si>
    <t>Arcturus</t>
  </si>
  <si>
    <t>ARCT</t>
  </si>
  <si>
    <t>Abivax</t>
  </si>
  <si>
    <t>ABVX FP</t>
  </si>
  <si>
    <t>Theravance</t>
  </si>
  <si>
    <t>TBPH</t>
  </si>
  <si>
    <t>Terns</t>
  </si>
  <si>
    <t>TERN</t>
  </si>
  <si>
    <t>ANI Pharma</t>
  </si>
  <si>
    <t>ANIP</t>
  </si>
  <si>
    <t>Editas</t>
  </si>
  <si>
    <t>EDIT</t>
  </si>
  <si>
    <t>Intercept</t>
  </si>
  <si>
    <t>ICPT</t>
  </si>
  <si>
    <t>Bioxcel</t>
  </si>
  <si>
    <t>BTAI</t>
  </si>
  <si>
    <t>Anavex</t>
  </si>
  <si>
    <t>AVXL</t>
  </si>
  <si>
    <t>VectivBio</t>
  </si>
  <si>
    <t>VECT</t>
  </si>
  <si>
    <t>Lexicon</t>
  </si>
  <si>
    <t>LXRX</t>
  </si>
  <si>
    <t>Rapt</t>
  </si>
  <si>
    <t>RAPT</t>
  </si>
  <si>
    <t>Bicycle</t>
  </si>
  <si>
    <t>BCYC</t>
  </si>
  <si>
    <t>Ambrx</t>
  </si>
  <si>
    <t>AMAM</t>
  </si>
  <si>
    <t>CTI Biopharma</t>
  </si>
  <si>
    <t>CTIC</t>
  </si>
  <si>
    <t>Aclaris</t>
  </si>
  <si>
    <t>ACRS</t>
  </si>
  <si>
    <t>Alector</t>
  </si>
  <si>
    <t>ALEC</t>
  </si>
  <si>
    <t>Janux</t>
  </si>
  <si>
    <t>JANX</t>
  </si>
  <si>
    <t>Edgewise</t>
  </si>
  <si>
    <t>EWTX</t>
  </si>
  <si>
    <t>Northwest</t>
  </si>
  <si>
    <t>NWBO</t>
  </si>
  <si>
    <t>Ars Pharma</t>
  </si>
  <si>
    <t>SPRY</t>
  </si>
  <si>
    <t>Castle Biosciences</t>
  </si>
  <si>
    <t>CSTL</t>
  </si>
  <si>
    <t>AnaptysBio</t>
  </si>
  <si>
    <t>ANAB</t>
  </si>
  <si>
    <t>Coherus</t>
  </si>
  <si>
    <t>CHRS</t>
  </si>
  <si>
    <t>Amneal</t>
  </si>
  <si>
    <t>AMRX</t>
  </si>
  <si>
    <t>2Seventy</t>
  </si>
  <si>
    <t>TSVT</t>
  </si>
  <si>
    <t>Amarin</t>
  </si>
  <si>
    <t>AMRN</t>
  </si>
  <si>
    <t>Autolus</t>
  </si>
  <si>
    <t>AUTL</t>
  </si>
  <si>
    <t>Kalvista</t>
  </si>
  <si>
    <t>KALV</t>
  </si>
  <si>
    <t>Xeris</t>
  </si>
  <si>
    <t>XERS</t>
  </si>
  <si>
    <t>Heron</t>
  </si>
  <si>
    <t>HRTX</t>
  </si>
  <si>
    <t>Prelude</t>
  </si>
  <si>
    <t>PRLD</t>
  </si>
  <si>
    <t>Precigen</t>
  </si>
  <si>
    <t>PGEN</t>
  </si>
  <si>
    <t>Generation</t>
  </si>
  <si>
    <t>GBIO</t>
  </si>
  <si>
    <t>AB Science</t>
  </si>
  <si>
    <t>AB FP</t>
  </si>
  <si>
    <t>Tango</t>
  </si>
  <si>
    <t>TNGX</t>
  </si>
  <si>
    <t>Y-Mabs</t>
  </si>
  <si>
    <t>YMAB</t>
  </si>
  <si>
    <t>IGM Bio</t>
  </si>
  <si>
    <t>IGMS</t>
  </si>
  <si>
    <t>Phathom</t>
  </si>
  <si>
    <t>PHAT</t>
  </si>
  <si>
    <t>ANTX</t>
  </si>
  <si>
    <t>AN2 Therapeutics</t>
  </si>
  <si>
    <t>Oramed</t>
  </si>
  <si>
    <t>ORMP</t>
  </si>
  <si>
    <t>Larimar</t>
  </si>
  <si>
    <t>LRMR</t>
  </si>
  <si>
    <t>Rigel</t>
  </si>
  <si>
    <t>RIGL</t>
  </si>
  <si>
    <t>X4</t>
  </si>
  <si>
    <t>XFOR</t>
  </si>
  <si>
    <t>Akebia</t>
  </si>
  <si>
    <t>AKBA</t>
  </si>
  <si>
    <t>Rallybio</t>
  </si>
  <si>
    <t>RLYB</t>
  </si>
  <si>
    <t>Cue</t>
  </si>
  <si>
    <t>CUE</t>
  </si>
  <si>
    <t>Xoma</t>
  </si>
  <si>
    <t>XOMA</t>
  </si>
  <si>
    <t>Macrogenics</t>
  </si>
  <si>
    <t>MGNX</t>
  </si>
  <si>
    <t>Arbutus</t>
  </si>
  <si>
    <t>ABUS</t>
  </si>
  <si>
    <t>Monte Rosa</t>
  </si>
  <si>
    <t>GLUE</t>
  </si>
  <si>
    <t>Foghorn</t>
  </si>
  <si>
    <t>FHTX</t>
  </si>
  <si>
    <t>Molecular Partners</t>
  </si>
  <si>
    <t>MOLN SW</t>
  </si>
  <si>
    <t>Kodiak</t>
  </si>
  <si>
    <t>KOD</t>
  </si>
  <si>
    <t>Lianbio</t>
  </si>
  <si>
    <t>LIAN</t>
  </si>
  <si>
    <t>Xbrane</t>
  </si>
  <si>
    <t>XBRANE</t>
  </si>
  <si>
    <t>Cara</t>
  </si>
  <si>
    <t>CARA</t>
  </si>
  <si>
    <t>Rani</t>
  </si>
  <si>
    <t>RANI</t>
  </si>
  <si>
    <t>Savara</t>
  </si>
  <si>
    <t>SVRA</t>
  </si>
  <si>
    <t>Oric</t>
  </si>
  <si>
    <t>Sangamo</t>
  </si>
  <si>
    <t>SGMO</t>
  </si>
  <si>
    <t>ORIC</t>
  </si>
  <si>
    <t>Nkarta</t>
  </si>
  <si>
    <t>NKTX</t>
  </si>
  <si>
    <t>Actinium</t>
  </si>
  <si>
    <t>ATNM</t>
  </si>
  <si>
    <t>Eyepoint</t>
  </si>
  <si>
    <t>EYPT</t>
  </si>
  <si>
    <t>PMV Pharma</t>
  </si>
  <si>
    <t>PMVP</t>
  </si>
  <si>
    <t>Gritstone</t>
  </si>
  <si>
    <t>GRTS</t>
  </si>
  <si>
    <t>Spectrum</t>
  </si>
  <si>
    <t>SPPI</t>
  </si>
  <si>
    <t>Carisma</t>
  </si>
  <si>
    <t>CARM</t>
  </si>
  <si>
    <t>Cormedix</t>
  </si>
  <si>
    <t>CRMD</t>
  </si>
  <si>
    <t>Longboard</t>
  </si>
  <si>
    <t>LBPH</t>
  </si>
  <si>
    <t>Inovio</t>
  </si>
  <si>
    <t>INO</t>
  </si>
  <si>
    <t>Protalix</t>
  </si>
  <si>
    <t>PLX</t>
  </si>
  <si>
    <t>Genfit</t>
  </si>
  <si>
    <t>GNFT</t>
  </si>
  <si>
    <t>Century</t>
  </si>
  <si>
    <t>IPSC</t>
  </si>
  <si>
    <t>Merrimack</t>
  </si>
  <si>
    <t>MACK</t>
  </si>
  <si>
    <t>Bioinvent</t>
  </si>
  <si>
    <t>BINV SS</t>
  </si>
  <si>
    <t>Fulcrum</t>
  </si>
  <si>
    <t>FULC</t>
  </si>
  <si>
    <t>AC Immune</t>
  </si>
  <si>
    <t>ACIU</t>
  </si>
  <si>
    <t>ProQR</t>
  </si>
  <si>
    <t>PRQR</t>
  </si>
  <si>
    <t>Zevra</t>
  </si>
  <si>
    <t>ZVRA</t>
  </si>
  <si>
    <t>Jasper</t>
  </si>
  <si>
    <t>JSPR</t>
  </si>
  <si>
    <t>G1 Therapeutics</t>
  </si>
  <si>
    <t>GTHX</t>
  </si>
  <si>
    <t>Ocugen</t>
  </si>
  <si>
    <t>OCGN</t>
  </si>
  <si>
    <t>ADC Therapeutics</t>
  </si>
  <si>
    <t>ADCT</t>
  </si>
  <si>
    <t>Nektar</t>
  </si>
  <si>
    <t>NKTR</t>
  </si>
  <si>
    <t>C4</t>
  </si>
  <si>
    <t>CCCC</t>
  </si>
  <si>
    <t>Selecta</t>
  </si>
  <si>
    <t>SELB</t>
  </si>
  <si>
    <t>Inflarx</t>
  </si>
  <si>
    <t>IFRX</t>
  </si>
  <si>
    <t>ALX Oncology</t>
  </si>
  <si>
    <t>ALXO</t>
  </si>
  <si>
    <t>Icosavax</t>
  </si>
  <si>
    <t>ICVX</t>
  </si>
  <si>
    <t>Aravive</t>
  </si>
  <si>
    <t>Atyr</t>
  </si>
  <si>
    <t>Waltham, Mass</t>
  </si>
  <si>
    <t>Location</t>
  </si>
  <si>
    <t>Vividion</t>
  </si>
  <si>
    <t>AskBio</t>
  </si>
  <si>
    <t>BlueRock</t>
  </si>
  <si>
    <t>Metis Pharmaceuticals</t>
  </si>
  <si>
    <t>Chinese</t>
  </si>
  <si>
    <t>75m</t>
  </si>
  <si>
    <t>Genesis Biomedicines</t>
  </si>
  <si>
    <t>52m</t>
  </si>
  <si>
    <t>Alto Neuroscience</t>
  </si>
  <si>
    <t>Aqemia</t>
  </si>
  <si>
    <t>Charm Therapeutics</t>
  </si>
  <si>
    <t>Pathos</t>
  </si>
  <si>
    <t>Mindrank</t>
  </si>
  <si>
    <t>PharmCADD</t>
  </si>
  <si>
    <t>16m</t>
  </si>
  <si>
    <t>Athos Therapeutics</t>
  </si>
  <si>
    <t>15m</t>
  </si>
  <si>
    <t>Immunogen</t>
  </si>
  <si>
    <t>Vevo Therapeutics</t>
  </si>
  <si>
    <t>Seed</t>
  </si>
  <si>
    <t>12m</t>
  </si>
  <si>
    <t>Verseon</t>
  </si>
  <si>
    <t>Nutcracker Therapeutics</t>
  </si>
  <si>
    <t>Matrix, Softbank, Surveyor, Redmile, Novo Nordisk, Fidelity, EcoR1, Samsara</t>
  </si>
  <si>
    <t>Quris</t>
  </si>
  <si>
    <t>9m</t>
  </si>
  <si>
    <t>Softbank</t>
  </si>
  <si>
    <t>Software</t>
  </si>
  <si>
    <t>Valuation</t>
  </si>
  <si>
    <t>Granata Bio</t>
  </si>
  <si>
    <t>Google, Alumni</t>
  </si>
  <si>
    <t>Comanche Biopharma</t>
  </si>
  <si>
    <t>NEA</t>
  </si>
  <si>
    <t>Accent Therapeutics</t>
  </si>
  <si>
    <t>Mirae</t>
  </si>
  <si>
    <t>Bain, Saturn</t>
  </si>
  <si>
    <t>Pelage Pharma</t>
  </si>
  <si>
    <t>Google</t>
  </si>
  <si>
    <t>Series E</t>
  </si>
  <si>
    <t>Nextech, venBio</t>
  </si>
  <si>
    <t>Zhejiang, venBio, T Rowe, Invus</t>
  </si>
  <si>
    <t>Metsera</t>
  </si>
  <si>
    <t>ARCH, SoftBank</t>
  </si>
  <si>
    <t>Moonwalk</t>
  </si>
  <si>
    <t>Q124</t>
  </si>
  <si>
    <t>Q7</t>
  </si>
  <si>
    <t>Q8</t>
  </si>
  <si>
    <t>Q9</t>
  </si>
  <si>
    <t>Q10</t>
  </si>
  <si>
    <t>Q11</t>
  </si>
  <si>
    <t>Q12</t>
  </si>
  <si>
    <t>Ozempic</t>
  </si>
  <si>
    <t>NOVO</t>
  </si>
  <si>
    <t>DKK</t>
  </si>
  <si>
    <t>Q13</t>
  </si>
  <si>
    <t>Q14</t>
  </si>
  <si>
    <t>Q15</t>
  </si>
  <si>
    <t>Q16</t>
  </si>
  <si>
    <t>Sandoz</t>
  </si>
  <si>
    <t>SDZ SW</t>
  </si>
  <si>
    <t>Swedish Orphan</t>
  </si>
  <si>
    <t>SOBI SS</t>
  </si>
  <si>
    <t>Viking</t>
  </si>
  <si>
    <t>VKTX</t>
  </si>
  <si>
    <t>Zydus Lifesciences</t>
  </si>
  <si>
    <t>ZYDUS</t>
  </si>
  <si>
    <t>Beijing Wantai</t>
  </si>
  <si>
    <t>603392 CH</t>
  </si>
  <si>
    <t>Torrent</t>
  </si>
  <si>
    <t>Lupin</t>
  </si>
  <si>
    <t>Aurobindo</t>
  </si>
  <si>
    <t>Aiolos</t>
  </si>
  <si>
    <t>NewAmsterdam Pharma</t>
  </si>
  <si>
    <t>NAMS</t>
  </si>
  <si>
    <t>Q224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</si>
  <si>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</si>
  <si>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</si>
  <si>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</si>
  <si>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</si>
  <si>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</si>
  <si>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</si>
  <si>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</si>
  <si>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</si>
  <si>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</si>
  <si>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</si>
  <si>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</si>
  <si>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</si>
  <si>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</si>
  <si>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Y1</t>
  </si>
  <si>
    <t>Y2</t>
  </si>
  <si>
    <t>Y3</t>
  </si>
  <si>
    <t>Y4</t>
  </si>
  <si>
    <t>Y5</t>
  </si>
  <si>
    <t>Y6</t>
  </si>
  <si>
    <t>Y7</t>
  </si>
  <si>
    <t>Drug</t>
  </si>
  <si>
    <t>Opdivo</t>
  </si>
  <si>
    <t>Coya</t>
  </si>
  <si>
    <t>COYA</t>
  </si>
  <si>
    <t>Abeona</t>
  </si>
  <si>
    <t>ABEO</t>
  </si>
  <si>
    <t>Leqvio</t>
  </si>
  <si>
    <t>Kesmipta</t>
  </si>
  <si>
    <t>Pluvicto</t>
  </si>
  <si>
    <t>Zolgensma</t>
  </si>
  <si>
    <t>Scemblix</t>
  </si>
  <si>
    <t>Mayzent</t>
  </si>
  <si>
    <t>Fabhalta</t>
  </si>
  <si>
    <t>Piqray</t>
  </si>
  <si>
    <t>Aimovig</t>
  </si>
  <si>
    <t>Beovu</t>
  </si>
  <si>
    <t>Tabrecta</t>
  </si>
  <si>
    <t>Adakveo</t>
  </si>
  <si>
    <t>Patient Square Capital</t>
  </si>
  <si>
    <t>Affinia Therapeutics</t>
  </si>
  <si>
    <t>Alumis</t>
  </si>
  <si>
    <t>SAN</t>
  </si>
  <si>
    <t>Q423</t>
  </si>
  <si>
    <t>Zhejiang Nhu</t>
  </si>
  <si>
    <t>002001 CH</t>
  </si>
  <si>
    <t>Alkem Labs</t>
  </si>
  <si>
    <t>ALKEM</t>
  </si>
  <si>
    <t>Vaxcyte</t>
  </si>
  <si>
    <t>PCVX</t>
  </si>
  <si>
    <t>Aspen</t>
  </si>
  <si>
    <t>APN SJ</t>
  </si>
  <si>
    <t>Gedeon Richter</t>
  </si>
  <si>
    <t>RICHT</t>
  </si>
  <si>
    <t>San Rafael, CA</t>
  </si>
  <si>
    <t>Denmark</t>
  </si>
  <si>
    <t>Delcath</t>
  </si>
  <si>
    <t>DCTH</t>
  </si>
  <si>
    <t>ORGO - look at new product for OA</t>
  </si>
  <si>
    <t>DCTH - assess revenue potential, look at dilutive instruments</t>
  </si>
  <si>
    <t>CTAS</t>
  </si>
  <si>
    <t>GTLB</t>
  </si>
  <si>
    <t>DG</t>
  </si>
  <si>
    <t>FDX</t>
  </si>
  <si>
    <t>XPEV</t>
  </si>
  <si>
    <t>RKLB</t>
  </si>
  <si>
    <t>Canon</t>
  </si>
  <si>
    <t>NBIX - luva</t>
  </si>
  <si>
    <t>ASTS</t>
  </si>
  <si>
    <t>Idrx</t>
  </si>
  <si>
    <t>Jnana</t>
  </si>
  <si>
    <t>Copenhagen, Denmark</t>
  </si>
  <si>
    <t>QXO - study Brad Jacobs</t>
  </si>
  <si>
    <t>NVCT</t>
  </si>
  <si>
    <t>SQ - listen to conference calls, check if new product/pipeline disclosed</t>
  </si>
  <si>
    <t>Elan</t>
  </si>
  <si>
    <t>Akeso</t>
  </si>
  <si>
    <t>9926 HK</t>
  </si>
  <si>
    <t>ID Biomedical</t>
  </si>
  <si>
    <t>Corixa</t>
  </si>
  <si>
    <t>Crucell</t>
  </si>
  <si>
    <t>HIMS - listen to conference calls</t>
  </si>
  <si>
    <t>ABCL - deeper dive</t>
  </si>
  <si>
    <t>PCVX - deeper dive, conf calls, patents</t>
  </si>
  <si>
    <t>SAVA - continue</t>
  </si>
  <si>
    <t>SYM - keep an eye on it</t>
  </si>
  <si>
    <t>JBL - listen to conference calls, model more years, do forecasts, look into customers, compare to macroeconomic data</t>
  </si>
  <si>
    <t>Nuvation</t>
  </si>
  <si>
    <t>NUVB</t>
  </si>
  <si>
    <t>PDS Biotechnology</t>
  </si>
  <si>
    <t>PDSB</t>
  </si>
  <si>
    <t>Soleno</t>
  </si>
  <si>
    <t>SLNO</t>
  </si>
  <si>
    <t>Bellus</t>
  </si>
  <si>
    <t>TRVI - dig deeper</t>
  </si>
  <si>
    <t>Acrivon</t>
  </si>
  <si>
    <t>ACRV</t>
  </si>
  <si>
    <t>Clearside Biomedical</t>
  </si>
  <si>
    <t>CLSD</t>
  </si>
  <si>
    <t>Pepgen</t>
  </si>
  <si>
    <t>PEPG</t>
  </si>
  <si>
    <t>Black Diamond</t>
  </si>
  <si>
    <t>BDTX</t>
  </si>
  <si>
    <t>RNA</t>
  </si>
  <si>
    <t>Equillium</t>
  </si>
  <si>
    <t>EQ</t>
  </si>
  <si>
    <t>EVT</t>
  </si>
  <si>
    <t>Tubulis</t>
  </si>
  <si>
    <t>Kazia</t>
  </si>
  <si>
    <t>KZIA</t>
  </si>
  <si>
    <t>Sellas</t>
  </si>
  <si>
    <t>SLS</t>
  </si>
  <si>
    <t>Eureka Therapeutics</t>
  </si>
  <si>
    <t>688180 CH</t>
  </si>
  <si>
    <t>Verona</t>
  </si>
  <si>
    <t>VRNA</t>
  </si>
  <si>
    <t>HUMA</t>
  </si>
  <si>
    <t>Baxalta</t>
  </si>
  <si>
    <t>Shire</t>
  </si>
  <si>
    <t>Ensysce</t>
  </si>
  <si>
    <t>ENSC</t>
  </si>
  <si>
    <t>Applied</t>
  </si>
  <si>
    <t>APLT</t>
  </si>
  <si>
    <t>Gossamer</t>
  </si>
  <si>
    <t>GOSS</t>
  </si>
  <si>
    <t>Corvus</t>
  </si>
  <si>
    <t>CRVS</t>
  </si>
  <si>
    <t>Y8</t>
  </si>
  <si>
    <t>Hospira</t>
  </si>
  <si>
    <t>Announce Date</t>
  </si>
  <si>
    <t>Allergan</t>
  </si>
  <si>
    <t>Celgene</t>
  </si>
  <si>
    <t>Genzyme</t>
  </si>
  <si>
    <t>Wyeth</t>
  </si>
  <si>
    <t>2002</t>
  </si>
  <si>
    <t>Pharmacia</t>
  </si>
  <si>
    <t>Sugen</t>
  </si>
  <si>
    <t>1999</t>
  </si>
  <si>
    <t>Schering-Plough</t>
  </si>
  <si>
    <t>Cubist</t>
  </si>
  <si>
    <t>The Medicines Company</t>
  </si>
  <si>
    <t>AveXis</t>
  </si>
  <si>
    <t>Actavis Generics</t>
  </si>
  <si>
    <t>Pharmasset</t>
  </si>
  <si>
    <t>Idenix</t>
  </si>
  <si>
    <t>Close Date</t>
  </si>
  <si>
    <t>Immunex</t>
  </si>
  <si>
    <t>Scios</t>
  </si>
  <si>
    <t>Genentech</t>
  </si>
  <si>
    <t>Acquired 56% stake</t>
  </si>
  <si>
    <t>Acquired publicly traded minority stake.</t>
  </si>
  <si>
    <t>Aventis</t>
  </si>
  <si>
    <t>MedImmune</t>
  </si>
  <si>
    <t>Pharmacyclics</t>
  </si>
  <si>
    <t>Immunomedics</t>
  </si>
  <si>
    <t>Myogen</t>
  </si>
  <si>
    <t>Kite</t>
  </si>
  <si>
    <t>Bausch &amp; Lomb</t>
  </si>
  <si>
    <t>Valeant</t>
  </si>
  <si>
    <t>Salix</t>
  </si>
  <si>
    <t>Cephalon</t>
  </si>
  <si>
    <t>IDEC</t>
  </si>
  <si>
    <t>2003</t>
  </si>
  <si>
    <t>Chiron</t>
  </si>
  <si>
    <t>Owned 40% or so</t>
  </si>
  <si>
    <t>Fujisawa</t>
  </si>
  <si>
    <t>Yamanouchi</t>
  </si>
  <si>
    <t>Combination renamed Astellas.</t>
  </si>
  <si>
    <t>OSI Pharmaceuticals</t>
  </si>
  <si>
    <t>GW Pharmaceuticals</t>
  </si>
  <si>
    <t>Juno</t>
  </si>
  <si>
    <t>Cougar</t>
  </si>
  <si>
    <t>Alcon</t>
  </si>
  <si>
    <t>Acquired 77% via Nestle</t>
  </si>
  <si>
    <t>Astra</t>
  </si>
  <si>
    <t>Zeneca</t>
  </si>
  <si>
    <t>Merger of equals.</t>
  </si>
  <si>
    <t>SmithKline Beecham</t>
  </si>
  <si>
    <t>Glaxo Wellcome</t>
  </si>
  <si>
    <t>Merger of equals (182B)</t>
  </si>
  <si>
    <t>ICOS</t>
  </si>
  <si>
    <t>Lilly</t>
  </si>
  <si>
    <t>Icos</t>
  </si>
  <si>
    <t>ImClone</t>
  </si>
  <si>
    <t>Bristol also made an offer.</t>
  </si>
  <si>
    <t>Actelion</t>
  </si>
  <si>
    <t>Monsanto</t>
  </si>
  <si>
    <t>Daiichi</t>
  </si>
  <si>
    <t>Sankyo</t>
  </si>
  <si>
    <t>Savient</t>
  </si>
  <si>
    <t>Ciba-Geigy</t>
  </si>
  <si>
    <t>Merger of equals to create Novartis.</t>
  </si>
  <si>
    <t>Ciba</t>
  </si>
  <si>
    <t>JR Geigy</t>
  </si>
  <si>
    <t>Ivax</t>
  </si>
  <si>
    <t>HMR</t>
  </si>
  <si>
    <t>Alza</t>
  </si>
  <si>
    <t>Medicis</t>
  </si>
  <si>
    <t>Relmada</t>
  </si>
  <si>
    <t>RLMD</t>
  </si>
  <si>
    <t>Forward Pharma</t>
  </si>
  <si>
    <t>Curatis</t>
  </si>
  <si>
    <t>CURN SW</t>
  </si>
  <si>
    <t>Hexal</t>
  </si>
  <si>
    <t>Serono</t>
  </si>
  <si>
    <t>Merck KgAA</t>
  </si>
  <si>
    <t>Q324</t>
  </si>
  <si>
    <t>Q424</t>
  </si>
  <si>
    <t>Revenue</t>
  </si>
  <si>
    <t>AbbVie COGS</t>
  </si>
  <si>
    <t>Lilly COGS</t>
  </si>
  <si>
    <t>J&amp;J COGS</t>
  </si>
  <si>
    <t>COGS</t>
  </si>
  <si>
    <t>Gross Margin</t>
  </si>
  <si>
    <t>Industry GM%</t>
  </si>
  <si>
    <t>Novo</t>
  </si>
  <si>
    <t>Novo COGS</t>
  </si>
  <si>
    <t>Merck COGS</t>
  </si>
  <si>
    <t>Q223</t>
  </si>
  <si>
    <t>Q323</t>
  </si>
  <si>
    <t>Scholar Rock</t>
  </si>
  <si>
    <t>SRRK</t>
  </si>
  <si>
    <t>Estrella</t>
  </si>
  <si>
    <t>ESLA</t>
  </si>
  <si>
    <t>Zogenix</t>
  </si>
  <si>
    <t>Neumora</t>
  </si>
  <si>
    <t>NMRA</t>
  </si>
  <si>
    <t>IMNM</t>
  </si>
  <si>
    <t>Brainstorm</t>
  </si>
  <si>
    <t>BCLI</t>
  </si>
  <si>
    <t>Allakos</t>
  </si>
  <si>
    <t>ALLK</t>
  </si>
  <si>
    <t>Sutro</t>
  </si>
  <si>
    <t>STRO</t>
  </si>
  <si>
    <t>Novartis spin-out? They owned 22% at acquisition.</t>
  </si>
  <si>
    <t>Humacyte</t>
  </si>
  <si>
    <t>Alto</t>
  </si>
  <si>
    <t>ANRO</t>
  </si>
  <si>
    <t>Q115</t>
  </si>
  <si>
    <t>22</t>
  </si>
  <si>
    <t>30</t>
  </si>
  <si>
    <t>Cosentyx</t>
  </si>
  <si>
    <t>Entresto</t>
  </si>
  <si>
    <t>Kisqali</t>
  </si>
  <si>
    <t>Avalyn</t>
  </si>
  <si>
    <t>Perceptive, SR One, Eventide, Vida Ventures, Wellington, Rock Springs, T. Rowe, Surveyor Capital, Catalio</t>
  </si>
  <si>
    <t>Type</t>
  </si>
  <si>
    <t>Baker Brothers</t>
  </si>
  <si>
    <t>Public Long-Only</t>
  </si>
  <si>
    <t>Perceptive</t>
  </si>
  <si>
    <t>RTW</t>
  </si>
  <si>
    <t>Rock Springs</t>
  </si>
  <si>
    <t>Cormorant</t>
  </si>
  <si>
    <t>EcoR1</t>
  </si>
  <si>
    <t>Adar1</t>
  </si>
  <si>
    <t>ADV</t>
  </si>
  <si>
    <t>13F</t>
  </si>
  <si>
    <t>Palo Alto</t>
  </si>
  <si>
    <t>Camber</t>
  </si>
  <si>
    <t>Avoro</t>
  </si>
  <si>
    <t>Armistice</t>
  </si>
  <si>
    <t>RA Capital</t>
  </si>
  <si>
    <t>Deerfield</t>
  </si>
  <si>
    <t>Orbimed</t>
  </si>
  <si>
    <t>Deep Track</t>
  </si>
  <si>
    <t>Founder</t>
  </si>
  <si>
    <t>Braidwell</t>
  </si>
  <si>
    <t>Alex Karnal</t>
  </si>
  <si>
    <t>Tang</t>
  </si>
  <si>
    <t>Casdin</t>
  </si>
  <si>
    <t>Felix &amp; Julian Baker</t>
  </si>
  <si>
    <t>Peter Kolchinsky</t>
  </si>
  <si>
    <t>Rod Wong</t>
  </si>
  <si>
    <t>Steve Boyd</t>
  </si>
  <si>
    <t>Bihua Chen</t>
  </si>
  <si>
    <t>Kevin Tang</t>
  </si>
  <si>
    <t>Kynam Capital</t>
  </si>
  <si>
    <t>Oracle</t>
  </si>
  <si>
    <t>Flagship</t>
  </si>
  <si>
    <t>iBio</t>
  </si>
  <si>
    <t>IBIO</t>
  </si>
  <si>
    <t>Galapagos</t>
  </si>
  <si>
    <t>GLPG</t>
  </si>
  <si>
    <t>Ortho Cell</t>
  </si>
  <si>
    <t>MyoKardia</t>
  </si>
  <si>
    <t>Pharmion</t>
  </si>
  <si>
    <t>Mixed</t>
  </si>
  <si>
    <t>Venture, Hedge</t>
  </si>
  <si>
    <t>Venture, Hedge, Royalty</t>
  </si>
  <si>
    <t>Hedge Fund</t>
  </si>
  <si>
    <t>Millennium</t>
  </si>
  <si>
    <t>Israel Englander</t>
  </si>
  <si>
    <t>Tularik</t>
  </si>
  <si>
    <t>Teneobio</t>
  </si>
  <si>
    <t>Micromet</t>
  </si>
  <si>
    <t>Five Prime</t>
  </si>
  <si>
    <t>Citadel</t>
  </si>
  <si>
    <t>Ken Griffin</t>
  </si>
  <si>
    <t>Biktarvy</t>
  </si>
  <si>
    <t>Descovy</t>
  </si>
  <si>
    <t>Lifetime</t>
  </si>
  <si>
    <t>Genvoya</t>
  </si>
  <si>
    <t>Sovaldi</t>
  </si>
  <si>
    <t>Harvony</t>
  </si>
  <si>
    <t>Comirnaty</t>
  </si>
  <si>
    <t>Paxlovid</t>
  </si>
  <si>
    <t>Vyndaqel</t>
  </si>
  <si>
    <t>Ibrance</t>
  </si>
  <si>
    <t>Indication</t>
  </si>
  <si>
    <t>COVID-19</t>
  </si>
  <si>
    <t>Oncology</t>
  </si>
  <si>
    <t>Cardiovascular</t>
  </si>
  <si>
    <t>Autoimmune</t>
  </si>
  <si>
    <t>HIV</t>
  </si>
  <si>
    <t>Diabetes</t>
  </si>
  <si>
    <t>Vaccine, Oncology</t>
  </si>
  <si>
    <t>Psychiatry</t>
  </si>
  <si>
    <t>#</t>
  </si>
  <si>
    <t># in Class</t>
  </si>
  <si>
    <t>Eliquis WW</t>
  </si>
  <si>
    <t>PFE/BMY</t>
  </si>
  <si>
    <t>Q113</t>
  </si>
  <si>
    <t>Y9</t>
  </si>
  <si>
    <t>Y10</t>
  </si>
  <si>
    <t>Y11</t>
  </si>
  <si>
    <t>Y12</t>
  </si>
  <si>
    <t>Rare</t>
  </si>
  <si>
    <t>Xeljanz</t>
  </si>
  <si>
    <t>Lipitor</t>
  </si>
  <si>
    <t>Q197</t>
  </si>
  <si>
    <t>Y13</t>
  </si>
  <si>
    <t>Y14</t>
  </si>
  <si>
    <t>Y15</t>
  </si>
  <si>
    <t>Y16</t>
  </si>
  <si>
    <t>Viagra</t>
  </si>
  <si>
    <t>HCV</t>
  </si>
  <si>
    <t>Abbott</t>
  </si>
  <si>
    <t>Knoll</t>
  </si>
  <si>
    <t>Humira</t>
  </si>
  <si>
    <t>Q103</t>
  </si>
  <si>
    <t>Skyrizi</t>
  </si>
  <si>
    <t>Rinvoq</t>
  </si>
  <si>
    <t>Zyprexa</t>
  </si>
  <si>
    <t>Eliquis ROW</t>
  </si>
  <si>
    <t>Eliquis US</t>
  </si>
  <si>
    <t>Zepbound</t>
  </si>
  <si>
    <t>Humalog</t>
  </si>
  <si>
    <t>Y17</t>
  </si>
  <si>
    <t>Y18</t>
  </si>
  <si>
    <t>Y19</t>
  </si>
  <si>
    <t>Cialis</t>
  </si>
  <si>
    <t>Remicade US</t>
  </si>
  <si>
    <t>Inhibikase</t>
  </si>
  <si>
    <t>IKT</t>
  </si>
  <si>
    <t>Aerovate</t>
  </si>
  <si>
    <t>AVTE</t>
  </si>
  <si>
    <t>Esperion</t>
  </si>
  <si>
    <t>ESPR</t>
  </si>
  <si>
    <t>Pharvaris</t>
  </si>
  <si>
    <t>Prevnar</t>
  </si>
  <si>
    <t>Vaccine</t>
  </si>
  <si>
    <t>2,439</t>
  </si>
  <si>
    <t>2,716</t>
  </si>
  <si>
    <t>Tonix</t>
  </si>
  <si>
    <t>TNXP</t>
  </si>
  <si>
    <t>AGTC</t>
  </si>
  <si>
    <t>Syncova</t>
  </si>
  <si>
    <t>Momenta</t>
  </si>
  <si>
    <t>Monopar</t>
  </si>
  <si>
    <t>MNPR</t>
  </si>
  <si>
    <t>DBID</t>
  </si>
  <si>
    <t>Brand</t>
  </si>
  <si>
    <t>Generic</t>
  </si>
  <si>
    <t>secukinumab</t>
  </si>
  <si>
    <t>MOA</t>
  </si>
  <si>
    <t>lepirudin</t>
  </si>
  <si>
    <t>Erbitux</t>
  </si>
  <si>
    <t>cetuximab</t>
  </si>
  <si>
    <t>Target</t>
  </si>
  <si>
    <t>thrombin</t>
  </si>
  <si>
    <t>EGFR</t>
  </si>
  <si>
    <t>mab</t>
  </si>
  <si>
    <t>MW</t>
  </si>
  <si>
    <t>Pulmozyme</t>
  </si>
  <si>
    <t>dornase alfa</t>
  </si>
  <si>
    <t>extracellular DNA</t>
  </si>
  <si>
    <t>recombinant enzyme</t>
  </si>
  <si>
    <t>IL-17A</t>
  </si>
  <si>
    <t>FDA</t>
  </si>
  <si>
    <t>Refludan</t>
  </si>
  <si>
    <t>Class</t>
  </si>
  <si>
    <t>rhProtein</t>
  </si>
  <si>
    <t>peptide</t>
  </si>
  <si>
    <t>AA</t>
  </si>
  <si>
    <t>peptide inhibitor</t>
  </si>
  <si>
    <t>denileukin difitox</t>
  </si>
  <si>
    <t>fusion protein</t>
  </si>
  <si>
    <t>Ontak</t>
  </si>
  <si>
    <t>IL-2</t>
  </si>
  <si>
    <t>protein-toxin conjugate</t>
  </si>
  <si>
    <t>etanercept</t>
  </si>
  <si>
    <t>Enbrel</t>
  </si>
  <si>
    <t>TNF-alpha</t>
  </si>
  <si>
    <t>soluble receptor</t>
  </si>
  <si>
    <t>bivalirudin</t>
  </si>
  <si>
    <t>Angiomax</t>
  </si>
  <si>
    <t>Lupron</t>
  </si>
  <si>
    <t>leuprolide</t>
  </si>
  <si>
    <t>GnRH analog</t>
  </si>
  <si>
    <t>GnRHR</t>
  </si>
  <si>
    <t>peginterferon alfa-2a</t>
  </si>
  <si>
    <t>Type 1 IFNR</t>
  </si>
  <si>
    <t>Pegasys</t>
  </si>
  <si>
    <t>alteplase</t>
  </si>
  <si>
    <t>fibrin, plasminogen</t>
  </si>
  <si>
    <t>Activase</t>
  </si>
  <si>
    <t>sermorelin</t>
  </si>
  <si>
    <t>GHRHR</t>
  </si>
  <si>
    <t>GRF mimetic</t>
  </si>
  <si>
    <t>Geref</t>
  </si>
  <si>
    <t>interferon alfa-n1</t>
  </si>
  <si>
    <t>Wellferon</t>
  </si>
  <si>
    <t>Aranesp</t>
  </si>
  <si>
    <t>darbepoetin alfa</t>
  </si>
  <si>
    <t>EPOR</t>
  </si>
  <si>
    <t>EPOR agonist</t>
  </si>
  <si>
    <t>IFNR agonist</t>
  </si>
  <si>
    <t>urokinase</t>
  </si>
  <si>
    <t>protease</t>
  </si>
  <si>
    <t>plasminogen</t>
  </si>
  <si>
    <t>Kinlytic</t>
  </si>
  <si>
    <t>Syncona</t>
  </si>
  <si>
    <t>Zoladex</t>
  </si>
  <si>
    <t>goserelin</t>
  </si>
  <si>
    <t>LHRH analog</t>
  </si>
  <si>
    <t>small molecule</t>
  </si>
  <si>
    <t>N/A</t>
  </si>
  <si>
    <t>reteplase</t>
  </si>
  <si>
    <t>tPA analog</t>
  </si>
  <si>
    <t>erythropoietin</t>
  </si>
  <si>
    <t>Procrit</t>
  </si>
  <si>
    <t>salmon calcitonin</t>
  </si>
  <si>
    <t>calcitonin receptor agonist</t>
  </si>
  <si>
    <t>Calcitonin receptor</t>
  </si>
  <si>
    <t>interferon alfa-n3</t>
  </si>
  <si>
    <t>purified protein</t>
  </si>
  <si>
    <t>pegfilgrastim</t>
  </si>
  <si>
    <t>Neulasta</t>
  </si>
  <si>
    <t>G-CSF</t>
  </si>
  <si>
    <t>G-CSF Receptor</t>
  </si>
  <si>
    <t>sargramostim</t>
  </si>
  <si>
    <t>Leukine</t>
  </si>
  <si>
    <t>GM-CSF</t>
  </si>
  <si>
    <t>GM-CSF-R-alpha</t>
  </si>
  <si>
    <t>secretin</t>
  </si>
  <si>
    <t>secretin receptor</t>
  </si>
  <si>
    <t>secretin receptor agonist</t>
  </si>
  <si>
    <t>peginterferon alfa-2b</t>
  </si>
  <si>
    <t>asparginase</t>
  </si>
  <si>
    <t>Rylaze</t>
  </si>
  <si>
    <t>L-asparagine</t>
  </si>
  <si>
    <t>Thyrogen</t>
  </si>
  <si>
    <t>thyrotropin alfa</t>
  </si>
  <si>
    <t>TSH receptor</t>
  </si>
  <si>
    <t>TSH receptor agonist</t>
  </si>
  <si>
    <t>Advate</t>
  </si>
  <si>
    <t>antihemophilic factor</t>
  </si>
  <si>
    <t>Factor IXa</t>
  </si>
  <si>
    <t>Factor IXa complex component</t>
  </si>
  <si>
    <t>Kineret</t>
  </si>
  <si>
    <t>anakinra</t>
  </si>
  <si>
    <t>IL-1</t>
  </si>
  <si>
    <t>gramicidin D</t>
  </si>
  <si>
    <t>Gammagard</t>
  </si>
  <si>
    <t>human immunoglobulin G</t>
  </si>
  <si>
    <t>anistreplase</t>
  </si>
  <si>
    <t>insulin human</t>
  </si>
  <si>
    <t>Humulin</t>
  </si>
  <si>
    <t>Insulin Receptor</t>
  </si>
  <si>
    <t>insulin receptor agonist</t>
  </si>
  <si>
    <t>TNKase</t>
  </si>
  <si>
    <t>tenecteplase</t>
  </si>
  <si>
    <t>Menopur</t>
  </si>
  <si>
    <t>menotropins</t>
  </si>
  <si>
    <t>FSH receptor</t>
  </si>
  <si>
    <t>FSH agonist</t>
  </si>
  <si>
    <t>Actimmune</t>
  </si>
  <si>
    <t>interferon gamma-1b</t>
  </si>
  <si>
    <t>interferon alfa-2a</t>
  </si>
  <si>
    <t>desmopressin</t>
  </si>
  <si>
    <t>V1, V2, V3 receptors</t>
  </si>
  <si>
    <t>vasopressin receptor agonist</t>
  </si>
  <si>
    <t>Ddavp</t>
  </si>
  <si>
    <t>coagulation factor VIIa recombinant human</t>
  </si>
  <si>
    <t>NovoSeven</t>
  </si>
  <si>
    <t>Factor IX, Factor X</t>
  </si>
  <si>
    <t>oprelvekin</t>
  </si>
  <si>
    <t>Neumega</t>
  </si>
  <si>
    <t>IL-11 receptor</t>
  </si>
  <si>
    <t>IL-11 receptor agonist</t>
  </si>
  <si>
    <t>Kepivance</t>
  </si>
  <si>
    <t>palifermin</t>
  </si>
  <si>
    <t>KGF receptor</t>
  </si>
  <si>
    <t>KGF receptor agonist</t>
  </si>
  <si>
    <t>glucagon</t>
  </si>
  <si>
    <t>Glucagen</t>
  </si>
  <si>
    <t>Glucagon receptor</t>
  </si>
  <si>
    <t>Glucagon receptor agonist</t>
  </si>
  <si>
    <t>Proleukin</t>
  </si>
  <si>
    <t>aldesleukin</t>
  </si>
  <si>
    <t>IL-2 receptor</t>
  </si>
  <si>
    <t>IL-2 receptor agonist</t>
  </si>
  <si>
    <t>Myobloc</t>
  </si>
  <si>
    <t>botulinum toxin type B</t>
  </si>
  <si>
    <t>Xolair</t>
  </si>
  <si>
    <t>omalizumab</t>
  </si>
  <si>
    <t>IgE</t>
  </si>
  <si>
    <t>lutropin alfa</t>
  </si>
  <si>
    <t>LH receptor</t>
  </si>
  <si>
    <t>LH receptor agonist</t>
  </si>
  <si>
    <t>lyme disease vaccine</t>
  </si>
  <si>
    <t>insulin lispro</t>
  </si>
  <si>
    <t>insulin glargine</t>
  </si>
  <si>
    <t>Lantus</t>
  </si>
  <si>
    <t>collagenase clostridium histolyticum</t>
  </si>
  <si>
    <t>Xiaflex</t>
  </si>
  <si>
    <t>rasburicase</t>
  </si>
  <si>
    <t>Elitek</t>
  </si>
  <si>
    <t>cetrorelix</t>
  </si>
  <si>
    <t>adalimumab</t>
  </si>
  <si>
    <t>imiglucerase</t>
  </si>
  <si>
    <t>Cerezyme</t>
  </si>
  <si>
    <t>somatotropin</t>
  </si>
  <si>
    <t>Genotropin</t>
  </si>
  <si>
    <t>Growth Hormone receptor</t>
  </si>
  <si>
    <t>GH receptor agonist</t>
  </si>
  <si>
    <t>abciximab</t>
  </si>
  <si>
    <t>Q32 Bio</t>
  </si>
  <si>
    <t>QTTB</t>
  </si>
  <si>
    <t>Artiva</t>
  </si>
  <si>
    <t>ARTV</t>
  </si>
  <si>
    <t>Atossa</t>
  </si>
  <si>
    <t>ATOS</t>
  </si>
  <si>
    <t>NervGen</t>
  </si>
  <si>
    <t>NGEN</t>
  </si>
  <si>
    <t>Q224?</t>
  </si>
  <si>
    <t>GALT</t>
  </si>
  <si>
    <t>Galectin</t>
  </si>
  <si>
    <t>Evaxion</t>
  </si>
  <si>
    <t>EVAX</t>
  </si>
  <si>
    <t>Murai Oncology</t>
  </si>
  <si>
    <t>MURA</t>
  </si>
  <si>
    <t>RZLT</t>
  </si>
  <si>
    <t>Rezolute</t>
  </si>
  <si>
    <t>LPTX</t>
  </si>
  <si>
    <t>Leap</t>
  </si>
  <si>
    <t>CABA</t>
  </si>
  <si>
    <t>Cabaletta</t>
  </si>
  <si>
    <t>Cognition</t>
  </si>
  <si>
    <t>CGTX</t>
  </si>
  <si>
    <t>Voyager</t>
  </si>
  <si>
    <t>VYGR</t>
  </si>
  <si>
    <t>ALGS</t>
  </si>
  <si>
    <t>Aligos</t>
  </si>
  <si>
    <t>DRUG</t>
  </si>
  <si>
    <t>Bright Minds</t>
  </si>
  <si>
    <t>R</t>
  </si>
  <si>
    <t>C</t>
  </si>
  <si>
    <t>Stoke</t>
  </si>
  <si>
    <t>STOK</t>
  </si>
  <si>
    <t>Candel</t>
  </si>
  <si>
    <t>CADL</t>
  </si>
  <si>
    <t>Reviva</t>
  </si>
  <si>
    <t>RVPH</t>
  </si>
  <si>
    <t>Checkpoint</t>
  </si>
  <si>
    <t>CKPT</t>
  </si>
  <si>
    <t>Aquestive</t>
  </si>
  <si>
    <t>AQST</t>
  </si>
  <si>
    <t>Afimmune</t>
  </si>
  <si>
    <t>Melinta Therapeutics</t>
  </si>
  <si>
    <t>Cempra</t>
  </si>
  <si>
    <t>Melinta</t>
  </si>
  <si>
    <t>Chemomab</t>
  </si>
  <si>
    <t>CMMB</t>
  </si>
  <si>
    <t>Gyre</t>
  </si>
  <si>
    <t>GYRE</t>
  </si>
  <si>
    <t>ArriVent</t>
  </si>
  <si>
    <t>AVBP</t>
  </si>
  <si>
    <t>Vaxart</t>
  </si>
  <si>
    <t>VXRT</t>
  </si>
  <si>
    <t>Cambridge Antibody Technology</t>
  </si>
  <si>
    <t>Domantis</t>
  </si>
  <si>
    <t>IMUX</t>
  </si>
  <si>
    <t>Immunic</t>
  </si>
  <si>
    <t>Vyne</t>
  </si>
  <si>
    <t>VYNE</t>
  </si>
  <si>
    <t>CRDL</t>
  </si>
  <si>
    <t>Cardiol</t>
  </si>
  <si>
    <t>Tenax</t>
  </si>
  <si>
    <t>TENX</t>
  </si>
  <si>
    <t>EVA Pharma</t>
  </si>
  <si>
    <t>Egypt based company, deal with LLY</t>
  </si>
  <si>
    <t>Forte</t>
  </si>
  <si>
    <t>FBRX</t>
  </si>
  <si>
    <t>Simcere</t>
  </si>
  <si>
    <t>2096 HK</t>
  </si>
  <si>
    <t>Cugene</t>
  </si>
  <si>
    <t>EvolveImmune</t>
  </si>
  <si>
    <t>Aliada</t>
  </si>
  <si>
    <t>Nimble</t>
  </si>
  <si>
    <t>Softbank, RA</t>
  </si>
  <si>
    <t>-</t>
  </si>
  <si>
    <t>Valo Health</t>
  </si>
  <si>
    <t>TARIS Biomedical</t>
  </si>
  <si>
    <t>Vyvgart</t>
  </si>
  <si>
    <t>Y20</t>
  </si>
  <si>
    <t>Y21</t>
  </si>
  <si>
    <t>Y22</t>
  </si>
  <si>
    <t>Y23</t>
  </si>
  <si>
    <t>Y24</t>
  </si>
  <si>
    <t>Y25</t>
  </si>
  <si>
    <t>Y26</t>
  </si>
  <si>
    <t>ALMS</t>
  </si>
  <si>
    <t>Johnson &amp; Johnson</t>
  </si>
  <si>
    <t>Merck KGaA</t>
  </si>
  <si>
    <t>CIBA</t>
  </si>
  <si>
    <t>J.R. Geigy</t>
  </si>
  <si>
    <t>Merck &amp; Co</t>
  </si>
  <si>
    <t>Abbott Laboratories</t>
  </si>
  <si>
    <t>MERGED WITH JR. Geigy SA</t>
  </si>
  <si>
    <t>Founded 1758</t>
  </si>
  <si>
    <t>Founded 1850s</t>
  </si>
  <si>
    <t>MERGED with CIBA</t>
  </si>
  <si>
    <t>Squibb</t>
  </si>
  <si>
    <t>Founded as Clinton Pharmaceutical Company</t>
  </si>
  <si>
    <t>Renamed Bristol-Myers</t>
  </si>
  <si>
    <t>Renamed Bristol, Myers Company</t>
  </si>
  <si>
    <t>IPO</t>
  </si>
  <si>
    <t>Merged with Bristol-Myers</t>
  </si>
  <si>
    <t>Merged with Squibb</t>
  </si>
  <si>
    <t>Bristol-Myers Squibb</t>
  </si>
  <si>
    <t>Warner-Lambert</t>
  </si>
  <si>
    <t>Glaxo</t>
  </si>
  <si>
    <t>Wellcome</t>
  </si>
  <si>
    <t>SmithKline</t>
  </si>
  <si>
    <t>Beecham</t>
  </si>
  <si>
    <t>Synthelabo</t>
  </si>
  <si>
    <t>Rhone-Poulenc</t>
  </si>
  <si>
    <t>Laboratoires Dausse</t>
  </si>
  <si>
    <t>Founded 1834</t>
  </si>
  <si>
    <t>Laboratoires Robert &amp; Carrière</t>
  </si>
  <si>
    <t>Merged with Laboratoires Robert &amp; Carrière to create Synthelabo</t>
  </si>
  <si>
    <t>Merged with Laboratoires Dausse to create Synthelabo</t>
  </si>
  <si>
    <t>Merged with Sanofi to create Sanofi-Synthelabo</t>
  </si>
  <si>
    <t>Hoechst</t>
  </si>
  <si>
    <t>Wittmann et Poulenc Jeune</t>
  </si>
  <si>
    <t>Founded as subsidiary of Elf Aquitaine</t>
  </si>
  <si>
    <t>Sanofi-Synthelabo</t>
  </si>
  <si>
    <t>William R. Warner and Company Limited</t>
  </si>
  <si>
    <t>Renamed Warner-Hudnut, Inc</t>
  </si>
  <si>
    <t>Lambert Pharmacal Company</t>
  </si>
  <si>
    <t>Acquired by Pfizer</t>
  </si>
  <si>
    <t>Acquired Warner-Lambert</t>
  </si>
  <si>
    <t>Upjohn</t>
  </si>
  <si>
    <t>Founded in Michigan</t>
  </si>
  <si>
    <t>Merged with Upjohn</t>
  </si>
  <si>
    <t>Merged with Pharmacia</t>
  </si>
  <si>
    <t>Pharmacia-Upjohn</t>
  </si>
  <si>
    <t>Searle</t>
  </si>
  <si>
    <t>Founded in Sweden (actually Farmitalia Carlo Erba and Kabi, so goes back further)</t>
  </si>
  <si>
    <t>Merged with Pharmacia-Upjohn</t>
  </si>
  <si>
    <t>Acquires Searle</t>
  </si>
  <si>
    <t>Acquired by Monsanto</t>
  </si>
  <si>
    <t>Acquires Pharmacia</t>
  </si>
  <si>
    <t>American Home Products</t>
  </si>
  <si>
    <t>John Wyeth &amp; Brother, Inc.</t>
  </si>
  <si>
    <t>American Cyanamid</t>
  </si>
  <si>
    <t>Founded by brothers John &amp; Frank Wyeth in Philadelphia.</t>
  </si>
  <si>
    <t>Stuart Wyeth dies, bequeaths company to Harvard.</t>
  </si>
  <si>
    <t>Sold to AHP for $2.9m.</t>
  </si>
  <si>
    <t>Acquires Wyeth</t>
  </si>
  <si>
    <t>Parke-Davis</t>
  </si>
  <si>
    <t>Genetics Institute</t>
  </si>
  <si>
    <t>Lederle Antitoxin Laboratories</t>
  </si>
  <si>
    <t>Founded by Frank Washburn and Charles Baker</t>
  </si>
  <si>
    <t>Acquired by American Cyanamid</t>
  </si>
  <si>
    <t>Acquired Lederle</t>
  </si>
  <si>
    <t>Acquired by AHP</t>
  </si>
  <si>
    <t>Ayerst, McKenna &amp; Harrison Limited</t>
  </si>
  <si>
    <t>Acquires Ayerst</t>
  </si>
  <si>
    <t>Acquires American Cyanamid</t>
  </si>
  <si>
    <t>Acquires Wyeth/AHP</t>
  </si>
  <si>
    <t>Founded in Detroit</t>
  </si>
  <si>
    <t>Lambert merges with Warner</t>
  </si>
  <si>
    <t>Warner merges with Lambert</t>
  </si>
  <si>
    <t>Parke-Davis acquired by Warner-Lambert</t>
  </si>
  <si>
    <t>Warner-Lambert Acquires Parke-Davis</t>
  </si>
  <si>
    <t>Seattle Genetics</t>
  </si>
  <si>
    <t>Arena (1997 - 2022)</t>
  </si>
  <si>
    <t>Hospira (2004-2015)</t>
  </si>
  <si>
    <t>Seattle Genetics (1997-2023)</t>
  </si>
  <si>
    <t>Medivation (2004-2016)</t>
  </si>
  <si>
    <t>Acquired by Pharmacia</t>
  </si>
  <si>
    <t>Spun-out of Abbott</t>
  </si>
  <si>
    <t>Abbott Labs</t>
  </si>
  <si>
    <t>Biohaven (2013-2022)</t>
  </si>
  <si>
    <t>Aviron</t>
  </si>
  <si>
    <t>Cidara</t>
  </si>
  <si>
    <t>CDTX</t>
  </si>
  <si>
    <t>Q314</t>
  </si>
  <si>
    <t>Duality Biologics</t>
  </si>
  <si>
    <t>BNTX deal</t>
  </si>
  <si>
    <t>OncoC4</t>
  </si>
  <si>
    <t>spun out of MRK after their acquisition of OncoImmune</t>
  </si>
  <si>
    <t>Avilar Therapeutics</t>
  </si>
  <si>
    <t>Curon Biopharmaceuticals</t>
  </si>
  <si>
    <t>Peloton Therapeutics</t>
  </si>
  <si>
    <t>Immune-Onc</t>
  </si>
  <si>
    <t>ILT family mabs</t>
  </si>
  <si>
    <t>Tectonic</t>
  </si>
  <si>
    <t>TECX</t>
  </si>
  <si>
    <t>GH Research</t>
  </si>
  <si>
    <t>GHRS</t>
  </si>
  <si>
    <t>IVVD</t>
  </si>
  <si>
    <t>Invivyd</t>
  </si>
  <si>
    <t>Upstream Bio</t>
  </si>
  <si>
    <t>UPB</t>
  </si>
  <si>
    <t>Lilly R&amp;D</t>
  </si>
  <si>
    <t>AbbVie R&amp;D</t>
  </si>
  <si>
    <t>Novo R&amp;D</t>
  </si>
  <si>
    <t>Pfizer R&amp;D</t>
  </si>
  <si>
    <t>Merck R&amp;D</t>
  </si>
  <si>
    <t>J&amp;J R&amp;D</t>
  </si>
  <si>
    <t>Sanofi R&amp;D</t>
  </si>
  <si>
    <t>GSK R&amp;D</t>
  </si>
  <si>
    <t>Amgen R&amp;D</t>
  </si>
  <si>
    <t>R&amp;D</t>
  </si>
  <si>
    <t>Novartis R&amp;D</t>
  </si>
  <si>
    <t>PHAR</t>
  </si>
  <si>
    <t>Xilio</t>
  </si>
  <si>
    <t>XLO</t>
  </si>
  <si>
    <t>Assembly</t>
  </si>
  <si>
    <t>Barinthus</t>
  </si>
  <si>
    <t>BRNS</t>
  </si>
  <si>
    <t>ASMB</t>
  </si>
  <si>
    <t>Tarsus</t>
  </si>
  <si>
    <t>TARS</t>
  </si>
  <si>
    <t>Telix</t>
  </si>
  <si>
    <t>TLX</t>
  </si>
  <si>
    <t>Capricor</t>
  </si>
  <si>
    <t>CAPR</t>
  </si>
  <si>
    <t>Fractyl</t>
  </si>
  <si>
    <t>GUTS</t>
  </si>
  <si>
    <t>Apogee</t>
  </si>
  <si>
    <t>APGE</t>
  </si>
  <si>
    <t>HLUN DE</t>
  </si>
  <si>
    <t>ONC</t>
  </si>
  <si>
    <t>Galderma</t>
  </si>
  <si>
    <t>GALD SW</t>
  </si>
  <si>
    <t>Tourmaline</t>
  </si>
  <si>
    <t>TRML</t>
  </si>
  <si>
    <t>Compass</t>
  </si>
  <si>
    <t>CMPS</t>
  </si>
  <si>
    <t>Elevation Oncology</t>
  </si>
  <si>
    <t>ELEV</t>
  </si>
  <si>
    <t>ProKidney</t>
  </si>
  <si>
    <t>PROK</t>
  </si>
  <si>
    <t>Merida Biosciences</t>
  </si>
  <si>
    <t>Bain, BVF, Third Rock</t>
  </si>
  <si>
    <t>Serina</t>
  </si>
  <si>
    <t>SER</t>
  </si>
  <si>
    <t>Okyo</t>
  </si>
  <si>
    <t>OKYO</t>
  </si>
  <si>
    <t>Q125</t>
  </si>
  <si>
    <t>Arcutis</t>
  </si>
  <si>
    <t>ARQT</t>
  </si>
  <si>
    <t>PHVS</t>
  </si>
  <si>
    <t>196170 KS</t>
  </si>
  <si>
    <t>Alteogen</t>
  </si>
  <si>
    <t>Mankind</t>
  </si>
  <si>
    <t>MANKIND</t>
  </si>
  <si>
    <t>6990 HK</t>
  </si>
  <si>
    <t>KRKA</t>
  </si>
  <si>
    <t>KRKG SV</t>
  </si>
  <si>
    <t>Yuhan</t>
  </si>
  <si>
    <t>000100 KS</t>
  </si>
  <si>
    <t>Wuxi XDC</t>
  </si>
  <si>
    <t>2268 HK</t>
  </si>
  <si>
    <t>Ypsomed</t>
  </si>
  <si>
    <t>YPSN</t>
  </si>
  <si>
    <t>6446 TT</t>
  </si>
  <si>
    <t>Alk-Abello</t>
  </si>
  <si>
    <t>ALKB DC</t>
  </si>
  <si>
    <t>HLB</t>
  </si>
  <si>
    <t>028300 KS</t>
  </si>
  <si>
    <t>SK Biopharmaceuticals</t>
  </si>
  <si>
    <t>326030 KS</t>
  </si>
  <si>
    <t>Laurus Labs</t>
  </si>
  <si>
    <t>LAURUS</t>
  </si>
  <si>
    <t>Santen</t>
  </si>
  <si>
    <t>4536 JP</t>
  </si>
  <si>
    <t>MTSR</t>
  </si>
  <si>
    <t>CG Oncology</t>
  </si>
  <si>
    <t>CGON</t>
  </si>
  <si>
    <t>Centessa</t>
  </si>
  <si>
    <t>CNTA</t>
  </si>
  <si>
    <t>Vera</t>
  </si>
  <si>
    <t>VERA</t>
  </si>
  <si>
    <t>Ocular Therapeutix</t>
  </si>
  <si>
    <t>OCUL</t>
  </si>
  <si>
    <t>Wave</t>
  </si>
  <si>
    <t>WVE</t>
  </si>
  <si>
    <t>Biocon</t>
  </si>
  <si>
    <t>BIOS IN</t>
  </si>
  <si>
    <t>Lenz</t>
  </si>
  <si>
    <t>LENZ</t>
  </si>
  <si>
    <t>Nurix</t>
  </si>
  <si>
    <t>NRIX</t>
  </si>
  <si>
    <t>Sionna</t>
  </si>
  <si>
    <t>SION</t>
  </si>
  <si>
    <t>Tyra</t>
  </si>
  <si>
    <t>TYRA</t>
  </si>
  <si>
    <t>Elite</t>
  </si>
  <si>
    <t>ELTP</t>
  </si>
  <si>
    <t>Regencell</t>
  </si>
  <si>
    <t>RGC</t>
  </si>
  <si>
    <t>Bachem</t>
  </si>
  <si>
    <t>BANB</t>
  </si>
  <si>
    <t>Ipca</t>
  </si>
  <si>
    <t>Spyre</t>
  </si>
  <si>
    <t>SYRE</t>
  </si>
  <si>
    <t>Evolus</t>
  </si>
  <si>
    <t>EOLS</t>
  </si>
  <si>
    <t>Mind Medicine</t>
  </si>
  <si>
    <t>MNMD</t>
  </si>
  <si>
    <t>Eton</t>
  </si>
  <si>
    <t>ETON</t>
  </si>
  <si>
    <t>Knight</t>
  </si>
  <si>
    <t>GUD</t>
  </si>
  <si>
    <t>Maze</t>
  </si>
  <si>
    <t>MAZE</t>
  </si>
  <si>
    <t>Iteos</t>
  </si>
  <si>
    <t>ITOS</t>
  </si>
  <si>
    <t>Neurogene</t>
  </si>
  <si>
    <t>NGNE</t>
  </si>
  <si>
    <t>CMPX</t>
  </si>
  <si>
    <t>Cartesian</t>
  </si>
  <si>
    <t>RNAC</t>
  </si>
  <si>
    <t>Jade</t>
  </si>
  <si>
    <t>JBIO</t>
  </si>
  <si>
    <t>Aura</t>
  </si>
  <si>
    <t>AURA</t>
  </si>
  <si>
    <t>Tvardi</t>
  </si>
  <si>
    <t>TVRD</t>
  </si>
  <si>
    <t>Palvella</t>
  </si>
  <si>
    <t>PVLA</t>
  </si>
  <si>
    <t>Vanda</t>
  </si>
  <si>
    <t>VNDA</t>
  </si>
  <si>
    <t>Atea</t>
  </si>
  <si>
    <t>AVIR</t>
  </si>
  <si>
    <t>Astria</t>
  </si>
  <si>
    <t>ATXS</t>
  </si>
  <si>
    <t>Nuvectis</t>
  </si>
  <si>
    <t>Aardvark</t>
  </si>
  <si>
    <t>AARD</t>
  </si>
  <si>
    <t>Tevogen</t>
  </si>
  <si>
    <t>TVGN</t>
  </si>
  <si>
    <t>Solid</t>
  </si>
  <si>
    <t>SLDB</t>
  </si>
  <si>
    <t>Actuate</t>
  </si>
  <si>
    <t>ACTU</t>
  </si>
  <si>
    <t>Silence</t>
  </si>
  <si>
    <t>SLN</t>
  </si>
  <si>
    <t>Annexon</t>
  </si>
  <si>
    <t>ANNX</t>
  </si>
  <si>
    <t>Design</t>
  </si>
  <si>
    <t>DSGN</t>
  </si>
  <si>
    <t>Diamedica</t>
  </si>
  <si>
    <t>DMAC</t>
  </si>
  <si>
    <t>Liminatus</t>
  </si>
  <si>
    <t>LIMN</t>
  </si>
  <si>
    <t>Cardo</t>
  </si>
  <si>
    <t>Cardiff</t>
  </si>
  <si>
    <t>CRDF</t>
  </si>
  <si>
    <t>CRGX</t>
  </si>
  <si>
    <t>Eledon</t>
  </si>
  <si>
    <t>ELDN</t>
  </si>
  <si>
    <t>HURA</t>
  </si>
  <si>
    <t>Tuhura</t>
  </si>
  <si>
    <t>Perspective</t>
  </si>
  <si>
    <t>CATX</t>
  </si>
  <si>
    <t>Anika</t>
  </si>
  <si>
    <t>ANIK</t>
  </si>
  <si>
    <t>DERM</t>
  </si>
  <si>
    <t>Journey Medical</t>
  </si>
  <si>
    <t>Puma</t>
  </si>
  <si>
    <t>PBYI</t>
  </si>
  <si>
    <t>Compugen</t>
  </si>
  <si>
    <t>CGEN</t>
  </si>
  <si>
    <t>Protara</t>
  </si>
  <si>
    <t>TARA</t>
  </si>
  <si>
    <t>SC</t>
  </si>
  <si>
    <t>SCPH</t>
  </si>
  <si>
    <t>Vigil</t>
  </si>
  <si>
    <t>VIGL</t>
  </si>
  <si>
    <t>Viela</t>
  </si>
  <si>
    <t>Sagimet</t>
  </si>
  <si>
    <t>SGMT</t>
  </si>
  <si>
    <t>Belite</t>
  </si>
  <si>
    <t>BLTE</t>
  </si>
  <si>
    <t>Kala</t>
  </si>
  <si>
    <t>KALA</t>
  </si>
  <si>
    <t>ATYR</t>
  </si>
  <si>
    <t>Celcuity</t>
  </si>
  <si>
    <t>CELC</t>
  </si>
  <si>
    <t>LPC</t>
  </si>
  <si>
    <t>ARBP</t>
  </si>
  <si>
    <t>TRP</t>
  </si>
  <si>
    <t>ALBC</t>
  </si>
  <si>
    <t>GNP</t>
  </si>
  <si>
    <t>IPCA</t>
  </si>
  <si>
    <t>ABVX</t>
  </si>
  <si>
    <t>SYNC</t>
  </si>
  <si>
    <t>OCC</t>
  </si>
  <si>
    <t>Q225</t>
  </si>
  <si>
    <t>Spruce</t>
  </si>
  <si>
    <t>SPRB</t>
  </si>
  <si>
    <t>Update</t>
  </si>
  <si>
    <t>Immuneering</t>
  </si>
  <si>
    <t>IMRX</t>
  </si>
  <si>
    <t>Verastem</t>
  </si>
  <si>
    <t>VSTM</t>
  </si>
  <si>
    <t>Q325</t>
  </si>
  <si>
    <t>Encoded Therapeutics</t>
  </si>
  <si>
    <t>Google, Matrix, ARCH, Illumina, RTW, Boxer, Nolan Capital</t>
  </si>
  <si>
    <t>Venrock, ARCH, Matrix, Illumina</t>
  </si>
  <si>
    <t>Tscan</t>
  </si>
  <si>
    <t>TCRX</t>
  </si>
  <si>
    <t>Q425</t>
  </si>
  <si>
    <t>Cullinan</t>
  </si>
  <si>
    <t>CGEM</t>
  </si>
  <si>
    <t>Q126</t>
  </si>
  <si>
    <t>tirzepatide</t>
  </si>
  <si>
    <t>HmG-CoA</t>
  </si>
  <si>
    <t>PD-1</t>
  </si>
  <si>
    <t>Factor X</t>
  </si>
  <si>
    <t>mRNA vaccine</t>
  </si>
  <si>
    <t>GLP-1</t>
  </si>
  <si>
    <t>integrase</t>
  </si>
  <si>
    <t>nucleotide</t>
  </si>
  <si>
    <t>DPP-4</t>
  </si>
  <si>
    <t>D2</t>
  </si>
  <si>
    <t>JAK</t>
  </si>
  <si>
    <t>Gene Therapy</t>
  </si>
  <si>
    <t>Y27</t>
  </si>
  <si>
    <t>Y28</t>
  </si>
  <si>
    <t>Y29</t>
  </si>
  <si>
    <t>Y30</t>
  </si>
  <si>
    <t>Insulin</t>
  </si>
  <si>
    <t>Hospital</t>
  </si>
  <si>
    <t>Migraine</t>
  </si>
  <si>
    <t>PDE5</t>
  </si>
  <si>
    <t>SNRI</t>
  </si>
  <si>
    <t>BTK</t>
  </si>
  <si>
    <t>CGRP</t>
  </si>
  <si>
    <t>Forteo</t>
  </si>
  <si>
    <t>Endocrinology</t>
  </si>
  <si>
    <t>Kinsula</t>
  </si>
  <si>
    <t>Neurology</t>
  </si>
  <si>
    <t>Omvoh</t>
  </si>
  <si>
    <t>Jaypirca</t>
  </si>
  <si>
    <t>Gemzar</t>
  </si>
  <si>
    <t>Evista</t>
  </si>
  <si>
    <t>Ebglyss</t>
  </si>
  <si>
    <t>IL-13</t>
  </si>
  <si>
    <t>Indiana</t>
  </si>
  <si>
    <t>United States</t>
  </si>
  <si>
    <t>YTD</t>
  </si>
  <si>
    <t>Country</t>
  </si>
  <si>
    <t>MTD</t>
  </si>
  <si>
    <t>Y/Y</t>
  </si>
  <si>
    <t>M/M</t>
  </si>
  <si>
    <t>United Kingdom</t>
  </si>
  <si>
    <t>Switzerland</t>
  </si>
  <si>
    <t>France</t>
  </si>
  <si>
    <t>Australia</t>
  </si>
  <si>
    <t>Japan</t>
  </si>
  <si>
    <t>Germany</t>
  </si>
  <si>
    <t>India</t>
  </si>
  <si>
    <t>South Korea</t>
  </si>
  <si>
    <t>Belgium</t>
  </si>
  <si>
    <t>Israel</t>
  </si>
  <si>
    <t>EVMN</t>
  </si>
  <si>
    <t>Evommune</t>
  </si>
  <si>
    <t>Agomab</t>
  </si>
  <si>
    <t>AGMB</t>
  </si>
  <si>
    <t>Rafael</t>
  </si>
  <si>
    <t>RFL</t>
  </si>
  <si>
    <t>Insilico</t>
  </si>
  <si>
    <t>3696 HK</t>
  </si>
  <si>
    <t>Maplight</t>
  </si>
  <si>
    <t>MPLT</t>
  </si>
  <si>
    <t>Alpha Tau</t>
  </si>
  <si>
    <t>DRTS</t>
  </si>
  <si>
    <t>MANE</t>
  </si>
  <si>
    <t>Veradermics</t>
  </si>
  <si>
    <t>Seaport</t>
  </si>
  <si>
    <t>SPTX</t>
  </si>
  <si>
    <t>Damora</t>
  </si>
  <si>
    <t>DMRA</t>
  </si>
  <si>
    <t>Quince</t>
  </si>
  <si>
    <t>QNCX</t>
  </si>
  <si>
    <t>ROP SW</t>
  </si>
  <si>
    <t>Q226</t>
  </si>
  <si>
    <t>BeOne</t>
  </si>
  <si>
    <t>First Tracks</t>
  </si>
  <si>
    <t>TRAX</t>
  </si>
  <si>
    <t>Sichuan Biokin</t>
  </si>
  <si>
    <t>688506 CH</t>
  </si>
  <si>
    <t>Pharmaessentia</t>
  </si>
  <si>
    <t>Haisco</t>
  </si>
  <si>
    <t>002653 CH</t>
  </si>
  <si>
    <t>CSPC Innovation</t>
  </si>
  <si>
    <t>300765 CH</t>
  </si>
  <si>
    <t>Shanghai Allist</t>
  </si>
  <si>
    <t>688578 CH</t>
  </si>
  <si>
    <t>Remegen</t>
  </si>
  <si>
    <t>9995 HK</t>
  </si>
  <si>
    <t>Biocytogen</t>
  </si>
  <si>
    <t>688796 CH</t>
  </si>
  <si>
    <t>Samsung Epis</t>
  </si>
  <si>
    <t>012670 KS</t>
  </si>
  <si>
    <t>Oruka</t>
  </si>
  <si>
    <t>ORKA</t>
  </si>
  <si>
    <t>Sunshine Guojian</t>
  </si>
  <si>
    <t>Definium</t>
  </si>
  <si>
    <t>DFTX</t>
  </si>
  <si>
    <t>China Resources Sanjiu</t>
  </si>
  <si>
    <t>000999 CH</t>
  </si>
  <si>
    <t>688336 CH</t>
  </si>
  <si>
    <t>Gan &amp; Lee</t>
  </si>
  <si>
    <t>603087 CH</t>
  </si>
  <si>
    <t>Apotex</t>
  </si>
  <si>
    <t>APTX CN</t>
  </si>
  <si>
    <t>Dianthus</t>
  </si>
  <si>
    <t>DNTH</t>
  </si>
  <si>
    <t>Shenzhen Salubris</t>
  </si>
  <si>
    <t>002294 CH</t>
  </si>
  <si>
    <t>3SBio</t>
  </si>
  <si>
    <t>1530 HK</t>
  </si>
  <si>
    <t>Joinn Labs</t>
  </si>
  <si>
    <t>603127 CH</t>
  </si>
  <si>
    <t>Caliway</t>
  </si>
  <si>
    <t>6919 TT</t>
  </si>
  <si>
    <t>Shanghai Raas</t>
  </si>
  <si>
    <t>002252 CH</t>
  </si>
  <si>
    <t>Suzhou Zelgen</t>
  </si>
  <si>
    <t>688266 CH</t>
  </si>
  <si>
    <t>Imeik Technology</t>
  </si>
  <si>
    <t>300896 CH</t>
  </si>
  <si>
    <t>Shanghai Helius</t>
  </si>
  <si>
    <t>2696 HK</t>
  </si>
  <si>
    <t>Indivior</t>
  </si>
  <si>
    <t>INDV US</t>
  </si>
  <si>
    <t>Ajanta</t>
  </si>
  <si>
    <t>AJP IN</t>
  </si>
  <si>
    <t>Gland</t>
  </si>
  <si>
    <t>GLAND IN</t>
  </si>
  <si>
    <t>Hanmi</t>
  </si>
  <si>
    <t>128940 KS</t>
  </si>
  <si>
    <t>Tasly</t>
  </si>
  <si>
    <t>600535 CH</t>
  </si>
  <si>
    <t>Laboratorios Farmaceuticos</t>
  </si>
  <si>
    <t>ROVI SM</t>
  </si>
  <si>
    <t>Wockhardt</t>
  </si>
  <si>
    <t>WPL IN</t>
  </si>
  <si>
    <t>AblBio</t>
  </si>
  <si>
    <t>298380 KS</t>
  </si>
  <si>
    <t>Xiamen Amoytop Biotech</t>
  </si>
  <si>
    <t>688278 CH</t>
  </si>
  <si>
    <t>Jilin Aodong</t>
  </si>
  <si>
    <t>000623 CH</t>
  </si>
  <si>
    <t>Hybio</t>
  </si>
  <si>
    <t>300199 CH</t>
  </si>
  <si>
    <t>MBX</t>
  </si>
  <si>
    <t>MBX US</t>
  </si>
  <si>
    <t>MGI Tech</t>
  </si>
  <si>
    <t>688114 CH</t>
  </si>
  <si>
    <t>Jiangsu NHWA</t>
  </si>
  <si>
    <t>002262 CH</t>
  </si>
  <si>
    <t>Keymed</t>
  </si>
  <si>
    <t>2162 HK</t>
  </si>
  <si>
    <t>Chengdu Kanghong</t>
  </si>
  <si>
    <t>002773 CH</t>
  </si>
  <si>
    <t>Yili Chuanning</t>
  </si>
  <si>
    <t>301301 CH</t>
  </si>
  <si>
    <t>Neuland</t>
  </si>
  <si>
    <t>NLL IN</t>
  </si>
  <si>
    <t>Betta</t>
  </si>
  <si>
    <t>300558 CH</t>
  </si>
  <si>
    <t>Humanwell</t>
  </si>
  <si>
    <t>600079 CH</t>
  </si>
  <si>
    <t>Parabilis</t>
  </si>
  <si>
    <t>PBLS</t>
  </si>
  <si>
    <t>Shijiazhuang Yiling</t>
  </si>
  <si>
    <t>002603 CH</t>
  </si>
  <si>
    <t>Apeloa</t>
  </si>
  <si>
    <t>000739 CH</t>
  </si>
  <si>
    <t>Emcure</t>
  </si>
  <si>
    <t>EMCURE IN</t>
  </si>
  <si>
    <t>Innocare</t>
  </si>
  <si>
    <t>9969 HK</t>
  </si>
  <si>
    <t>Zhejiang Huahai</t>
  </si>
  <si>
    <t>China Resources Pharma</t>
  </si>
  <si>
    <t>600521 CH</t>
  </si>
  <si>
    <t>3320 HK</t>
  </si>
  <si>
    <t>Dizal Jiangsu</t>
  </si>
  <si>
    <t>688192 CH</t>
  </si>
  <si>
    <t>China Medical System</t>
  </si>
  <si>
    <t>867 HK</t>
  </si>
  <si>
    <t>Hebei Changshan</t>
  </si>
  <si>
    <t>300255 CH</t>
  </si>
  <si>
    <t>Sumitomo</t>
  </si>
  <si>
    <t>4506 JP</t>
  </si>
  <si>
    <t>Almirall</t>
  </si>
  <si>
    <t>ALM SM</t>
  </si>
  <si>
    <t>Kailera</t>
  </si>
  <si>
    <t>KLRA</t>
  </si>
  <si>
    <t>Bicara</t>
  </si>
  <si>
    <t>Olix</t>
  </si>
  <si>
    <t>Lakefront</t>
  </si>
  <si>
    <t>Zymeworks</t>
  </si>
  <si>
    <t>Camurus</t>
  </si>
  <si>
    <t>BioArctic</t>
  </si>
  <si>
    <t>LigaChem</t>
  </si>
  <si>
    <t>Kobayashi</t>
  </si>
  <si>
    <t>Hugel</t>
  </si>
  <si>
    <t>Hemab</t>
  </si>
  <si>
    <t>COAG</t>
  </si>
  <si>
    <t>Dermapharm</t>
  </si>
  <si>
    <t>Bavarian Nordic</t>
  </si>
  <si>
    <t>BAVA</t>
  </si>
  <si>
    <t>Rapport</t>
  </si>
  <si>
    <t>LB</t>
  </si>
  <si>
    <t>LBRX</t>
  </si>
  <si>
    <t>Aktis</t>
  </si>
  <si>
    <t>Kaken</t>
  </si>
  <si>
    <t>Apnimed</t>
  </si>
  <si>
    <t>Kolon Tissuegene</t>
  </si>
  <si>
    <t>Orus</t>
  </si>
  <si>
    <t>Basilea</t>
  </si>
  <si>
    <t>BioAge</t>
  </si>
  <si>
    <t>Kyverna</t>
  </si>
  <si>
    <t>New Jersey</t>
  </si>
  <si>
    <t>Illinois</t>
  </si>
  <si>
    <t>Basel</t>
  </si>
  <si>
    <t>London</t>
  </si>
  <si>
    <t>California</t>
  </si>
  <si>
    <t>Copenhagen</t>
  </si>
  <si>
    <t>New York</t>
  </si>
  <si>
    <t>Paris</t>
  </si>
  <si>
    <t>Boston</t>
  </si>
  <si>
    <t>Leverkusen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</si>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</sst>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164" formatCode="#,##0.0000"/>
    <numFmt numFmtId="165" formatCode="0\x"/>
    <numFmt numFmtId="166" formatCode="[$€-2]\ #,##0.00"/>
    <numFmt numFmtId="167" formatCode="[$£-809]#,##0.00"/>
    <numFmt numFmtId="168" formatCode="[$¥-411]#,##0"/>
    <numFmt numFmtId="169" formatCode="[$₹-4009]\ #,##0"/>
    <numFmt numFmtId="170" formatCode="[$HK$-C04]#,##0.00"/>
    <numFmt numFmtId="171" formatCode="[$₩-412]#,##0"/>
    <numFmt numFmtId="172" formatCode="[$CHF-807]\ #,##0.00"/>
    <numFmt numFmtId="173" formatCode="[$£-809]#,##0"/>
    <numFmt numFmtId="174" formatCode="[$€-2]\ #,##0"/>
    <numFmt numFmtId="175" formatCode="[$₩-412]#,##0.0"/>
    <numFmt numFmtId="176" formatCode="[$¥-804]#,##0.00"/>
    <numFmt numFmtId="177" formatCode="#,##0.00\ [$kr.-406]"/>
    <numFmt numFmtId="178" formatCode="[$AUD]\ #,##0.00"/>
    <numFmt numFmtId="179" formatCode="#,##0.00\ [$zł-415]"/>
    <numFmt numFmtId="180" formatCode="[$CAD]\ #,##0.00"/>
  </numFmts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u/>
      <sz val="10"/>
      <color theme="10"/>
      <name val="Arial"/>
      <family val="2"/>
    </font>
    <font>
      <i/>
      <u/>
      <sz val="10"/>
      <color theme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b/>
      <sz val="48"/>
      <color theme="1"/>
      <name val="Arial"/>
      <family val="2"/>
    </font>
    <font>
      <strike/>
      <sz val="10"/>
      <color theme="1"/>
      <name val="Arial"/>
      <family val="2"/>
    </font>
    <font>
      <strike/>
      <u/>
      <sz val="10"/>
      <color theme="10"/>
      <name val="Arial"/>
      <family val="2"/>
    </font>
    <font>
      <sz val="9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8" fillId="0" borderId="0"/>
  </cellStyleXfs>
  <cellXfs count="16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/>
    </xf>
    <xf numFmtId="14" fontId="0" fillId="0" borderId="0" xfId="0" applyNumberFormat="1"/>
    <xf numFmtId="0" fontId="2" fillId="0" borderId="0" xfId="1" applyFill="1"/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172" fontId="1" fillId="0" borderId="0" xfId="0" applyNumberFormat="1" applyFont="1" applyAlignment="1">
      <alignment horizontal="right"/>
    </xf>
    <xf numFmtId="173" fontId="1" fillId="0" borderId="0" xfId="0" applyNumberFormat="1" applyFont="1" applyAlignment="1">
      <alignment horizontal="right"/>
    </xf>
    <xf numFmtId="0" fontId="0" fillId="0" borderId="0" xfId="0" quotePrefix="1"/>
    <xf numFmtId="174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7" fillId="0" borderId="0" xfId="0" applyNumberFormat="1" applyFont="1" applyAlignment="1">
      <alignment horizontal="right"/>
    </xf>
    <xf numFmtId="3" fontId="8" fillId="0" borderId="0" xfId="0" applyNumberFormat="1" applyFont="1"/>
    <xf numFmtId="0" fontId="8" fillId="0" borderId="0" xfId="0" applyFont="1"/>
    <xf numFmtId="4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4" fontId="1" fillId="0" borderId="0" xfId="0" applyNumberFormat="1" applyFont="1"/>
    <xf numFmtId="0" fontId="2" fillId="0" borderId="0" xfId="1" applyFill="1" applyBorder="1"/>
    <xf numFmtId="4" fontId="0" fillId="0" borderId="0" xfId="0" applyNumberFormat="1"/>
    <xf numFmtId="175" fontId="1" fillId="0" borderId="0" xfId="0" applyNumberFormat="1" applyFont="1" applyAlignment="1">
      <alignment horizontal="right"/>
    </xf>
    <xf numFmtId="0" fontId="9" fillId="0" borderId="0" xfId="1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right"/>
    </xf>
    <xf numFmtId="4" fontId="3" fillId="0" borderId="0" xfId="0" applyNumberFormat="1" applyFont="1" applyAlignment="1">
      <alignment horizontal="right"/>
    </xf>
    <xf numFmtId="17" fontId="0" fillId="0" borderId="0" xfId="0" applyNumberFormat="1"/>
    <xf numFmtId="14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3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7" fontId="1" fillId="0" borderId="0" xfId="0" applyNumberFormat="1" applyFont="1" applyAlignment="1">
      <alignment horizontal="right"/>
    </xf>
    <xf numFmtId="178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10" fillId="0" borderId="0" xfId="1" applyFont="1"/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8" borderId="0" xfId="0" quotePrefix="1" applyFill="1"/>
    <xf numFmtId="0" fontId="0" fillId="11" borderId="0" xfId="0" applyFill="1"/>
    <xf numFmtId="0" fontId="3" fillId="11" borderId="0" xfId="0" applyFont="1" applyFill="1"/>
    <xf numFmtId="0" fontId="0" fillId="12" borderId="0" xfId="0" applyFill="1"/>
    <xf numFmtId="0" fontId="0" fillId="13" borderId="0" xfId="0" applyFill="1"/>
    <xf numFmtId="0" fontId="0" fillId="15" borderId="0" xfId="0" applyFill="1"/>
    <xf numFmtId="0" fontId="12" fillId="15" borderId="0" xfId="0" applyFont="1" applyFill="1"/>
    <xf numFmtId="0" fontId="0" fillId="17" borderId="0" xfId="0" applyFill="1"/>
    <xf numFmtId="0" fontId="12" fillId="17" borderId="0" xfId="0" applyFont="1" applyFill="1"/>
    <xf numFmtId="0" fontId="0" fillId="18" borderId="0" xfId="0" applyFill="1"/>
    <xf numFmtId="0" fontId="0" fillId="20" borderId="0" xfId="0" applyFill="1"/>
    <xf numFmtId="0" fontId="3" fillId="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0" fillId="22" borderId="0" xfId="0" applyFill="1"/>
    <xf numFmtId="0" fontId="3" fillId="23" borderId="0" xfId="0" applyFont="1" applyFill="1" applyAlignment="1">
      <alignment horizontal="center" vertical="center"/>
    </xf>
    <xf numFmtId="0" fontId="0" fillId="16" borderId="0" xfId="0" applyFill="1"/>
    <xf numFmtId="0" fontId="0" fillId="16" borderId="0" xfId="0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0" fillId="14" borderId="0" xfId="0" applyFill="1"/>
    <xf numFmtId="0" fontId="3" fillId="14" borderId="0" xfId="0" applyFont="1" applyFill="1" applyAlignment="1">
      <alignment horizontal="center"/>
    </xf>
    <xf numFmtId="0" fontId="16" fillId="0" borderId="0" xfId="0" applyFont="1"/>
    <xf numFmtId="0" fontId="17" fillId="0" borderId="0" xfId="1" applyFont="1"/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14" fontId="16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1" applyFont="1"/>
    <xf numFmtId="4" fontId="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/>
    <xf numFmtId="0" fontId="8" fillId="16" borderId="0" xfId="0" applyFont="1" applyFill="1"/>
    <xf numFmtId="4" fontId="8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right"/>
    </xf>
    <xf numFmtId="180" fontId="1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3" fontId="2" fillId="0" borderId="0" xfId="1" applyNumberFormat="1" applyFill="1"/>
    <xf numFmtId="175" fontId="3" fillId="0" borderId="0" xfId="0" applyNumberFormat="1" applyFont="1" applyAlignment="1">
      <alignment horizontal="right"/>
    </xf>
    <xf numFmtId="0" fontId="1" fillId="0" borderId="2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4" fillId="0" borderId="0" xfId="0" applyFont="1"/>
    <xf numFmtId="14" fontId="1" fillId="0" borderId="0" xfId="0" applyNumberFormat="1" applyFont="1"/>
    <xf numFmtId="9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10" borderId="0" xfId="0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3" fillId="10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1" fillId="21" borderId="0" xfId="0" applyFont="1" applyFill="1" applyAlignment="1">
      <alignment horizontal="center" vertical="center"/>
    </xf>
    <xf numFmtId="0" fontId="11" fillId="21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3" fillId="19" borderId="0" xfId="0" applyFont="1" applyFill="1" applyAlignment="1">
      <alignment horizontal="center" vertical="center" wrapText="1"/>
    </xf>
    <xf numFmtId="0" fontId="3" fillId="19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15" fillId="20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</cellXfs>
  <cellStyles count="3">
    <cellStyle name="defaultsheetstyle" xfId="2" xr:uid="{01E6A12C-E8AA-4CAE-8FF8-BA3B3C0E6E07}"/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0E00E0E-E35F-430D-8665-E3B07BF7FE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5.xml"/><Relationship Id="rId21" Type="http://schemas.openxmlformats.org/officeDocument/2006/relationships/externalLink" Target="externalLinks/externalLink9.xml"/><Relationship Id="rId42" Type="http://schemas.openxmlformats.org/officeDocument/2006/relationships/externalLink" Target="externalLinks/externalLink30.xml"/><Relationship Id="rId63" Type="http://schemas.openxmlformats.org/officeDocument/2006/relationships/externalLink" Target="externalLinks/externalLink51.xml"/><Relationship Id="rId84" Type="http://schemas.openxmlformats.org/officeDocument/2006/relationships/externalLink" Target="externalLinks/externalLink72.xml"/><Relationship Id="rId138" Type="http://schemas.openxmlformats.org/officeDocument/2006/relationships/externalLink" Target="externalLinks/externalLink126.xml"/><Relationship Id="rId159" Type="http://schemas.openxmlformats.org/officeDocument/2006/relationships/externalLink" Target="externalLinks/externalLink147.xml"/><Relationship Id="rId170" Type="http://schemas.openxmlformats.org/officeDocument/2006/relationships/externalLink" Target="externalLinks/externalLink158.xml"/><Relationship Id="rId191" Type="http://schemas.openxmlformats.org/officeDocument/2006/relationships/externalLink" Target="externalLinks/externalLink179.xml"/><Relationship Id="rId205" Type="http://schemas.openxmlformats.org/officeDocument/2006/relationships/externalLink" Target="externalLinks/externalLink193.xml"/><Relationship Id="rId226" Type="http://schemas.openxmlformats.org/officeDocument/2006/relationships/externalLink" Target="externalLinks/externalLink214.xml"/><Relationship Id="rId247" Type="http://schemas.openxmlformats.org/officeDocument/2006/relationships/calcChain" Target="calcChain.xml"/><Relationship Id="rId107" Type="http://schemas.openxmlformats.org/officeDocument/2006/relationships/externalLink" Target="externalLinks/externalLink9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41.xml"/><Relationship Id="rId74" Type="http://schemas.openxmlformats.org/officeDocument/2006/relationships/externalLink" Target="externalLinks/externalLink62.xml"/><Relationship Id="rId128" Type="http://schemas.openxmlformats.org/officeDocument/2006/relationships/externalLink" Target="externalLinks/externalLink116.xml"/><Relationship Id="rId149" Type="http://schemas.openxmlformats.org/officeDocument/2006/relationships/externalLink" Target="externalLinks/externalLink137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3.xml"/><Relationship Id="rId160" Type="http://schemas.openxmlformats.org/officeDocument/2006/relationships/externalLink" Target="externalLinks/externalLink148.xml"/><Relationship Id="rId181" Type="http://schemas.openxmlformats.org/officeDocument/2006/relationships/externalLink" Target="externalLinks/externalLink169.xml"/><Relationship Id="rId216" Type="http://schemas.openxmlformats.org/officeDocument/2006/relationships/externalLink" Target="externalLinks/externalLink204.xml"/><Relationship Id="rId237" Type="http://schemas.openxmlformats.org/officeDocument/2006/relationships/externalLink" Target="externalLinks/externalLink225.xml"/><Relationship Id="rId22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52.xml"/><Relationship Id="rId118" Type="http://schemas.openxmlformats.org/officeDocument/2006/relationships/externalLink" Target="externalLinks/externalLink106.xml"/><Relationship Id="rId139" Type="http://schemas.openxmlformats.org/officeDocument/2006/relationships/externalLink" Target="externalLinks/externalLink127.xml"/><Relationship Id="rId85" Type="http://schemas.openxmlformats.org/officeDocument/2006/relationships/externalLink" Target="externalLinks/externalLink73.xml"/><Relationship Id="rId150" Type="http://schemas.openxmlformats.org/officeDocument/2006/relationships/externalLink" Target="externalLinks/externalLink138.xml"/><Relationship Id="rId171" Type="http://schemas.openxmlformats.org/officeDocument/2006/relationships/externalLink" Target="externalLinks/externalLink159.xml"/><Relationship Id="rId192" Type="http://schemas.openxmlformats.org/officeDocument/2006/relationships/externalLink" Target="externalLinks/externalLink180.xml"/><Relationship Id="rId206" Type="http://schemas.openxmlformats.org/officeDocument/2006/relationships/externalLink" Target="externalLinks/externalLink194.xml"/><Relationship Id="rId227" Type="http://schemas.openxmlformats.org/officeDocument/2006/relationships/externalLink" Target="externalLinks/externalLink215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21.xml"/><Relationship Id="rId108" Type="http://schemas.openxmlformats.org/officeDocument/2006/relationships/externalLink" Target="externalLinks/externalLink96.xml"/><Relationship Id="rId129" Type="http://schemas.openxmlformats.org/officeDocument/2006/relationships/externalLink" Target="externalLinks/externalLink117.xml"/><Relationship Id="rId54" Type="http://schemas.openxmlformats.org/officeDocument/2006/relationships/externalLink" Target="externalLinks/externalLink42.xml"/><Relationship Id="rId75" Type="http://schemas.openxmlformats.org/officeDocument/2006/relationships/externalLink" Target="externalLinks/externalLink63.xml"/><Relationship Id="rId96" Type="http://schemas.openxmlformats.org/officeDocument/2006/relationships/externalLink" Target="externalLinks/externalLink84.xml"/><Relationship Id="rId140" Type="http://schemas.openxmlformats.org/officeDocument/2006/relationships/externalLink" Target="externalLinks/externalLink128.xml"/><Relationship Id="rId161" Type="http://schemas.openxmlformats.org/officeDocument/2006/relationships/externalLink" Target="externalLinks/externalLink149.xml"/><Relationship Id="rId182" Type="http://schemas.openxmlformats.org/officeDocument/2006/relationships/externalLink" Target="externalLinks/externalLink170.xml"/><Relationship Id="rId217" Type="http://schemas.openxmlformats.org/officeDocument/2006/relationships/externalLink" Target="externalLinks/externalLink205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6.xml"/><Relationship Id="rId23" Type="http://schemas.openxmlformats.org/officeDocument/2006/relationships/externalLink" Target="externalLinks/externalLink11.xml"/><Relationship Id="rId119" Type="http://schemas.openxmlformats.org/officeDocument/2006/relationships/externalLink" Target="externalLinks/externalLink107.xml"/><Relationship Id="rId44" Type="http://schemas.openxmlformats.org/officeDocument/2006/relationships/externalLink" Target="externalLinks/externalLink32.xml"/><Relationship Id="rId65" Type="http://schemas.openxmlformats.org/officeDocument/2006/relationships/externalLink" Target="externalLinks/externalLink53.xml"/><Relationship Id="rId86" Type="http://schemas.openxmlformats.org/officeDocument/2006/relationships/externalLink" Target="externalLinks/externalLink74.xml"/><Relationship Id="rId130" Type="http://schemas.openxmlformats.org/officeDocument/2006/relationships/externalLink" Target="externalLinks/externalLink118.xml"/><Relationship Id="rId151" Type="http://schemas.openxmlformats.org/officeDocument/2006/relationships/externalLink" Target="externalLinks/externalLink139.xml"/><Relationship Id="rId172" Type="http://schemas.openxmlformats.org/officeDocument/2006/relationships/externalLink" Target="externalLinks/externalLink160.xml"/><Relationship Id="rId193" Type="http://schemas.openxmlformats.org/officeDocument/2006/relationships/externalLink" Target="externalLinks/externalLink181.xml"/><Relationship Id="rId207" Type="http://schemas.openxmlformats.org/officeDocument/2006/relationships/externalLink" Target="externalLinks/externalLink195.xml"/><Relationship Id="rId228" Type="http://schemas.openxmlformats.org/officeDocument/2006/relationships/externalLink" Target="externalLinks/externalLink216.xml"/><Relationship Id="rId13" Type="http://schemas.openxmlformats.org/officeDocument/2006/relationships/externalLink" Target="externalLinks/externalLink1.xml"/><Relationship Id="rId109" Type="http://schemas.openxmlformats.org/officeDocument/2006/relationships/externalLink" Target="externalLinks/externalLink97.xml"/><Relationship Id="rId34" Type="http://schemas.openxmlformats.org/officeDocument/2006/relationships/externalLink" Target="externalLinks/externalLink22.xml"/><Relationship Id="rId55" Type="http://schemas.openxmlformats.org/officeDocument/2006/relationships/externalLink" Target="externalLinks/externalLink43.xml"/><Relationship Id="rId76" Type="http://schemas.openxmlformats.org/officeDocument/2006/relationships/externalLink" Target="externalLinks/externalLink64.xml"/><Relationship Id="rId97" Type="http://schemas.openxmlformats.org/officeDocument/2006/relationships/externalLink" Target="externalLinks/externalLink85.xml"/><Relationship Id="rId120" Type="http://schemas.openxmlformats.org/officeDocument/2006/relationships/externalLink" Target="externalLinks/externalLink108.xml"/><Relationship Id="rId141" Type="http://schemas.openxmlformats.org/officeDocument/2006/relationships/externalLink" Target="externalLinks/externalLink129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0.xml"/><Relationship Id="rId183" Type="http://schemas.openxmlformats.org/officeDocument/2006/relationships/externalLink" Target="externalLinks/externalLink171.xml"/><Relationship Id="rId218" Type="http://schemas.openxmlformats.org/officeDocument/2006/relationships/externalLink" Target="externalLinks/externalLink206.xml"/><Relationship Id="rId239" Type="http://schemas.openxmlformats.org/officeDocument/2006/relationships/externalLink" Target="externalLinks/externalLink227.xml"/><Relationship Id="rId24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54.xml"/><Relationship Id="rId87" Type="http://schemas.openxmlformats.org/officeDocument/2006/relationships/externalLink" Target="externalLinks/externalLink75.xml"/><Relationship Id="rId110" Type="http://schemas.openxmlformats.org/officeDocument/2006/relationships/externalLink" Target="externalLinks/externalLink98.xml"/><Relationship Id="rId131" Type="http://schemas.openxmlformats.org/officeDocument/2006/relationships/externalLink" Target="externalLinks/externalLink119.xml"/><Relationship Id="rId152" Type="http://schemas.openxmlformats.org/officeDocument/2006/relationships/externalLink" Target="externalLinks/externalLink140.xml"/><Relationship Id="rId173" Type="http://schemas.openxmlformats.org/officeDocument/2006/relationships/externalLink" Target="externalLinks/externalLink161.xml"/><Relationship Id="rId194" Type="http://schemas.openxmlformats.org/officeDocument/2006/relationships/externalLink" Target="externalLinks/externalLink182.xml"/><Relationship Id="rId208" Type="http://schemas.openxmlformats.org/officeDocument/2006/relationships/externalLink" Target="externalLinks/externalLink196.xml"/><Relationship Id="rId229" Type="http://schemas.openxmlformats.org/officeDocument/2006/relationships/externalLink" Target="externalLinks/externalLink217.xml"/><Relationship Id="rId240" Type="http://schemas.openxmlformats.org/officeDocument/2006/relationships/externalLink" Target="externalLinks/externalLink228.xml"/><Relationship Id="rId14" Type="http://schemas.openxmlformats.org/officeDocument/2006/relationships/externalLink" Target="externalLinks/externalLink2.xml"/><Relationship Id="rId35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44.xml"/><Relationship Id="rId77" Type="http://schemas.openxmlformats.org/officeDocument/2006/relationships/externalLink" Target="externalLinks/externalLink65.xml"/><Relationship Id="rId100" Type="http://schemas.openxmlformats.org/officeDocument/2006/relationships/externalLink" Target="externalLinks/externalLink88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6.xml"/><Relationship Id="rId121" Type="http://schemas.openxmlformats.org/officeDocument/2006/relationships/externalLink" Target="externalLinks/externalLink109.xml"/><Relationship Id="rId142" Type="http://schemas.openxmlformats.org/officeDocument/2006/relationships/externalLink" Target="externalLinks/externalLink130.xml"/><Relationship Id="rId163" Type="http://schemas.openxmlformats.org/officeDocument/2006/relationships/externalLink" Target="externalLinks/externalLink151.xml"/><Relationship Id="rId184" Type="http://schemas.openxmlformats.org/officeDocument/2006/relationships/externalLink" Target="externalLinks/externalLink172.xml"/><Relationship Id="rId219" Type="http://schemas.openxmlformats.org/officeDocument/2006/relationships/externalLink" Target="externalLinks/externalLink207.xml"/><Relationship Id="rId230" Type="http://schemas.openxmlformats.org/officeDocument/2006/relationships/externalLink" Target="externalLinks/externalLink218.xml"/><Relationship Id="rId25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55.xml"/><Relationship Id="rId88" Type="http://schemas.openxmlformats.org/officeDocument/2006/relationships/externalLink" Target="externalLinks/externalLink76.xml"/><Relationship Id="rId111" Type="http://schemas.openxmlformats.org/officeDocument/2006/relationships/externalLink" Target="externalLinks/externalLink99.xml"/><Relationship Id="rId132" Type="http://schemas.openxmlformats.org/officeDocument/2006/relationships/externalLink" Target="externalLinks/externalLink120.xml"/><Relationship Id="rId153" Type="http://schemas.openxmlformats.org/officeDocument/2006/relationships/externalLink" Target="externalLinks/externalLink141.xml"/><Relationship Id="rId174" Type="http://schemas.openxmlformats.org/officeDocument/2006/relationships/externalLink" Target="externalLinks/externalLink162.xml"/><Relationship Id="rId195" Type="http://schemas.openxmlformats.org/officeDocument/2006/relationships/externalLink" Target="externalLinks/externalLink183.xml"/><Relationship Id="rId209" Type="http://schemas.openxmlformats.org/officeDocument/2006/relationships/externalLink" Target="externalLinks/externalLink197.xml"/><Relationship Id="rId220" Type="http://schemas.openxmlformats.org/officeDocument/2006/relationships/externalLink" Target="externalLinks/externalLink208.xml"/><Relationship Id="rId241" Type="http://schemas.openxmlformats.org/officeDocument/2006/relationships/externalLink" Target="externalLinks/externalLink229.xml"/><Relationship Id="rId15" Type="http://schemas.openxmlformats.org/officeDocument/2006/relationships/externalLink" Target="externalLinks/externalLink3.xml"/><Relationship Id="rId36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4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40.xml"/><Relationship Id="rId73" Type="http://schemas.openxmlformats.org/officeDocument/2006/relationships/externalLink" Target="externalLinks/externalLink61.xml"/><Relationship Id="rId78" Type="http://schemas.openxmlformats.org/officeDocument/2006/relationships/externalLink" Target="externalLinks/externalLink66.xml"/><Relationship Id="rId94" Type="http://schemas.openxmlformats.org/officeDocument/2006/relationships/externalLink" Target="externalLinks/externalLink82.xml"/><Relationship Id="rId99" Type="http://schemas.openxmlformats.org/officeDocument/2006/relationships/externalLink" Target="externalLinks/externalLink87.xml"/><Relationship Id="rId101" Type="http://schemas.openxmlformats.org/officeDocument/2006/relationships/externalLink" Target="externalLinks/externalLink89.xml"/><Relationship Id="rId122" Type="http://schemas.openxmlformats.org/officeDocument/2006/relationships/externalLink" Target="externalLinks/externalLink110.xml"/><Relationship Id="rId143" Type="http://schemas.openxmlformats.org/officeDocument/2006/relationships/externalLink" Target="externalLinks/externalLink131.xml"/><Relationship Id="rId148" Type="http://schemas.openxmlformats.org/officeDocument/2006/relationships/externalLink" Target="externalLinks/externalLink136.xml"/><Relationship Id="rId164" Type="http://schemas.openxmlformats.org/officeDocument/2006/relationships/externalLink" Target="externalLinks/externalLink152.xml"/><Relationship Id="rId169" Type="http://schemas.openxmlformats.org/officeDocument/2006/relationships/externalLink" Target="externalLinks/externalLink157.xml"/><Relationship Id="rId185" Type="http://schemas.openxmlformats.org/officeDocument/2006/relationships/externalLink" Target="externalLinks/externalLink1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8.xml"/><Relationship Id="rId210" Type="http://schemas.openxmlformats.org/officeDocument/2006/relationships/externalLink" Target="externalLinks/externalLink198.xml"/><Relationship Id="rId215" Type="http://schemas.openxmlformats.org/officeDocument/2006/relationships/externalLink" Target="externalLinks/externalLink203.xml"/><Relationship Id="rId236" Type="http://schemas.openxmlformats.org/officeDocument/2006/relationships/externalLink" Target="externalLinks/externalLink224.xml"/><Relationship Id="rId26" Type="http://schemas.openxmlformats.org/officeDocument/2006/relationships/externalLink" Target="externalLinks/externalLink14.xml"/><Relationship Id="rId231" Type="http://schemas.openxmlformats.org/officeDocument/2006/relationships/externalLink" Target="externalLinks/externalLink219.xml"/><Relationship Id="rId47" Type="http://schemas.openxmlformats.org/officeDocument/2006/relationships/externalLink" Target="externalLinks/externalLink35.xml"/><Relationship Id="rId68" Type="http://schemas.openxmlformats.org/officeDocument/2006/relationships/externalLink" Target="externalLinks/externalLink56.xml"/><Relationship Id="rId89" Type="http://schemas.openxmlformats.org/officeDocument/2006/relationships/externalLink" Target="externalLinks/externalLink77.xml"/><Relationship Id="rId112" Type="http://schemas.openxmlformats.org/officeDocument/2006/relationships/externalLink" Target="externalLinks/externalLink100.xml"/><Relationship Id="rId133" Type="http://schemas.openxmlformats.org/officeDocument/2006/relationships/externalLink" Target="externalLinks/externalLink121.xml"/><Relationship Id="rId154" Type="http://schemas.openxmlformats.org/officeDocument/2006/relationships/externalLink" Target="externalLinks/externalLink142.xml"/><Relationship Id="rId175" Type="http://schemas.openxmlformats.org/officeDocument/2006/relationships/externalLink" Target="externalLinks/externalLink163.xml"/><Relationship Id="rId196" Type="http://schemas.openxmlformats.org/officeDocument/2006/relationships/externalLink" Target="externalLinks/externalLink184.xml"/><Relationship Id="rId200" Type="http://schemas.openxmlformats.org/officeDocument/2006/relationships/externalLink" Target="externalLinks/externalLink188.xml"/><Relationship Id="rId16" Type="http://schemas.openxmlformats.org/officeDocument/2006/relationships/externalLink" Target="externalLinks/externalLink4.xml"/><Relationship Id="rId221" Type="http://schemas.openxmlformats.org/officeDocument/2006/relationships/externalLink" Target="externalLinks/externalLink209.xml"/><Relationship Id="rId242" Type="http://schemas.openxmlformats.org/officeDocument/2006/relationships/theme" Target="theme/theme1.xml"/><Relationship Id="rId37" Type="http://schemas.openxmlformats.org/officeDocument/2006/relationships/externalLink" Target="externalLinks/externalLink25.xml"/><Relationship Id="rId58" Type="http://schemas.openxmlformats.org/officeDocument/2006/relationships/externalLink" Target="externalLinks/externalLink46.xml"/><Relationship Id="rId79" Type="http://schemas.openxmlformats.org/officeDocument/2006/relationships/externalLink" Target="externalLinks/externalLink67.xml"/><Relationship Id="rId102" Type="http://schemas.openxmlformats.org/officeDocument/2006/relationships/externalLink" Target="externalLinks/externalLink90.xml"/><Relationship Id="rId123" Type="http://schemas.openxmlformats.org/officeDocument/2006/relationships/externalLink" Target="externalLinks/externalLink111.xml"/><Relationship Id="rId144" Type="http://schemas.openxmlformats.org/officeDocument/2006/relationships/externalLink" Target="externalLinks/externalLink132.xml"/><Relationship Id="rId90" Type="http://schemas.openxmlformats.org/officeDocument/2006/relationships/externalLink" Target="externalLinks/externalLink78.xml"/><Relationship Id="rId165" Type="http://schemas.openxmlformats.org/officeDocument/2006/relationships/externalLink" Target="externalLinks/externalLink153.xml"/><Relationship Id="rId186" Type="http://schemas.openxmlformats.org/officeDocument/2006/relationships/externalLink" Target="externalLinks/externalLink174.xml"/><Relationship Id="rId211" Type="http://schemas.openxmlformats.org/officeDocument/2006/relationships/externalLink" Target="externalLinks/externalLink199.xml"/><Relationship Id="rId232" Type="http://schemas.openxmlformats.org/officeDocument/2006/relationships/externalLink" Target="externalLinks/externalLink220.xml"/><Relationship Id="rId27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36.xml"/><Relationship Id="rId69" Type="http://schemas.openxmlformats.org/officeDocument/2006/relationships/externalLink" Target="externalLinks/externalLink57.xml"/><Relationship Id="rId113" Type="http://schemas.openxmlformats.org/officeDocument/2006/relationships/externalLink" Target="externalLinks/externalLink101.xml"/><Relationship Id="rId134" Type="http://schemas.openxmlformats.org/officeDocument/2006/relationships/externalLink" Target="externalLinks/externalLink122.xml"/><Relationship Id="rId80" Type="http://schemas.openxmlformats.org/officeDocument/2006/relationships/externalLink" Target="externalLinks/externalLink68.xml"/><Relationship Id="rId155" Type="http://schemas.openxmlformats.org/officeDocument/2006/relationships/externalLink" Target="externalLinks/externalLink143.xml"/><Relationship Id="rId176" Type="http://schemas.openxmlformats.org/officeDocument/2006/relationships/externalLink" Target="externalLinks/externalLink164.xml"/><Relationship Id="rId197" Type="http://schemas.openxmlformats.org/officeDocument/2006/relationships/externalLink" Target="externalLinks/externalLink185.xml"/><Relationship Id="rId201" Type="http://schemas.openxmlformats.org/officeDocument/2006/relationships/externalLink" Target="externalLinks/externalLink189.xml"/><Relationship Id="rId222" Type="http://schemas.openxmlformats.org/officeDocument/2006/relationships/externalLink" Target="externalLinks/externalLink210.xml"/><Relationship Id="rId243" Type="http://schemas.openxmlformats.org/officeDocument/2006/relationships/styles" Target="styles.xml"/><Relationship Id="rId17" Type="http://schemas.openxmlformats.org/officeDocument/2006/relationships/externalLink" Target="externalLinks/externalLink5.xml"/><Relationship Id="rId38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47.xml"/><Relationship Id="rId103" Type="http://schemas.openxmlformats.org/officeDocument/2006/relationships/externalLink" Target="externalLinks/externalLink91.xml"/><Relationship Id="rId124" Type="http://schemas.openxmlformats.org/officeDocument/2006/relationships/externalLink" Target="externalLinks/externalLink112.xml"/><Relationship Id="rId70" Type="http://schemas.openxmlformats.org/officeDocument/2006/relationships/externalLink" Target="externalLinks/externalLink58.xml"/><Relationship Id="rId91" Type="http://schemas.openxmlformats.org/officeDocument/2006/relationships/externalLink" Target="externalLinks/externalLink79.xml"/><Relationship Id="rId145" Type="http://schemas.openxmlformats.org/officeDocument/2006/relationships/externalLink" Target="externalLinks/externalLink133.xml"/><Relationship Id="rId166" Type="http://schemas.openxmlformats.org/officeDocument/2006/relationships/externalLink" Target="externalLinks/externalLink154.xml"/><Relationship Id="rId187" Type="http://schemas.openxmlformats.org/officeDocument/2006/relationships/externalLink" Target="externalLinks/externalLink17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0.xml"/><Relationship Id="rId233" Type="http://schemas.openxmlformats.org/officeDocument/2006/relationships/externalLink" Target="externalLinks/externalLink221.xml"/><Relationship Id="rId28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37.xml"/><Relationship Id="rId114" Type="http://schemas.openxmlformats.org/officeDocument/2006/relationships/externalLink" Target="externalLinks/externalLink102.xml"/><Relationship Id="rId60" Type="http://schemas.openxmlformats.org/officeDocument/2006/relationships/externalLink" Target="externalLinks/externalLink48.xml"/><Relationship Id="rId81" Type="http://schemas.openxmlformats.org/officeDocument/2006/relationships/externalLink" Target="externalLinks/externalLink69.xml"/><Relationship Id="rId135" Type="http://schemas.openxmlformats.org/officeDocument/2006/relationships/externalLink" Target="externalLinks/externalLink123.xml"/><Relationship Id="rId156" Type="http://schemas.openxmlformats.org/officeDocument/2006/relationships/externalLink" Target="externalLinks/externalLink144.xml"/><Relationship Id="rId177" Type="http://schemas.openxmlformats.org/officeDocument/2006/relationships/externalLink" Target="externalLinks/externalLink165.xml"/><Relationship Id="rId198" Type="http://schemas.openxmlformats.org/officeDocument/2006/relationships/externalLink" Target="externalLinks/externalLink186.xml"/><Relationship Id="rId202" Type="http://schemas.openxmlformats.org/officeDocument/2006/relationships/externalLink" Target="externalLinks/externalLink190.xml"/><Relationship Id="rId223" Type="http://schemas.openxmlformats.org/officeDocument/2006/relationships/externalLink" Target="externalLinks/externalLink211.xml"/><Relationship Id="rId244" Type="http://schemas.openxmlformats.org/officeDocument/2006/relationships/sharedStrings" Target="sharedStrings.xml"/><Relationship Id="rId18" Type="http://schemas.openxmlformats.org/officeDocument/2006/relationships/externalLink" Target="externalLinks/externalLink6.xml"/><Relationship Id="rId39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38.xml"/><Relationship Id="rId104" Type="http://schemas.openxmlformats.org/officeDocument/2006/relationships/externalLink" Target="externalLinks/externalLink92.xml"/><Relationship Id="rId125" Type="http://schemas.openxmlformats.org/officeDocument/2006/relationships/externalLink" Target="externalLinks/externalLink113.xml"/><Relationship Id="rId146" Type="http://schemas.openxmlformats.org/officeDocument/2006/relationships/externalLink" Target="externalLinks/externalLink134.xml"/><Relationship Id="rId167" Type="http://schemas.openxmlformats.org/officeDocument/2006/relationships/externalLink" Target="externalLinks/externalLink155.xml"/><Relationship Id="rId188" Type="http://schemas.openxmlformats.org/officeDocument/2006/relationships/externalLink" Target="externalLinks/externalLink176.xml"/><Relationship Id="rId71" Type="http://schemas.openxmlformats.org/officeDocument/2006/relationships/externalLink" Target="externalLinks/externalLink59.xml"/><Relationship Id="rId92" Type="http://schemas.openxmlformats.org/officeDocument/2006/relationships/externalLink" Target="externalLinks/externalLink80.xml"/><Relationship Id="rId213" Type="http://schemas.openxmlformats.org/officeDocument/2006/relationships/externalLink" Target="externalLinks/externalLink201.xml"/><Relationship Id="rId234" Type="http://schemas.openxmlformats.org/officeDocument/2006/relationships/externalLink" Target="externalLinks/externalLink22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8.xml"/><Relationship Id="rId115" Type="http://schemas.openxmlformats.org/officeDocument/2006/relationships/externalLink" Target="externalLinks/externalLink103.xml"/><Relationship Id="rId136" Type="http://schemas.openxmlformats.org/officeDocument/2006/relationships/externalLink" Target="externalLinks/externalLink124.xml"/><Relationship Id="rId157" Type="http://schemas.openxmlformats.org/officeDocument/2006/relationships/externalLink" Target="externalLinks/externalLink145.xml"/><Relationship Id="rId178" Type="http://schemas.openxmlformats.org/officeDocument/2006/relationships/externalLink" Target="externalLinks/externalLink166.xml"/><Relationship Id="rId61" Type="http://schemas.openxmlformats.org/officeDocument/2006/relationships/externalLink" Target="externalLinks/externalLink49.xml"/><Relationship Id="rId82" Type="http://schemas.openxmlformats.org/officeDocument/2006/relationships/externalLink" Target="externalLinks/externalLink70.xml"/><Relationship Id="rId199" Type="http://schemas.openxmlformats.org/officeDocument/2006/relationships/externalLink" Target="externalLinks/externalLink187.xml"/><Relationship Id="rId203" Type="http://schemas.openxmlformats.org/officeDocument/2006/relationships/externalLink" Target="externalLinks/externalLink191.xml"/><Relationship Id="rId19" Type="http://schemas.openxmlformats.org/officeDocument/2006/relationships/externalLink" Target="externalLinks/externalLink7.xml"/><Relationship Id="rId224" Type="http://schemas.openxmlformats.org/officeDocument/2006/relationships/externalLink" Target="externalLinks/externalLink212.xml"/><Relationship Id="rId245" Type="http://schemas.openxmlformats.org/officeDocument/2006/relationships/sheetMetadata" Target="metadata.xml"/><Relationship Id="rId30" Type="http://schemas.openxmlformats.org/officeDocument/2006/relationships/externalLink" Target="externalLinks/externalLink18.xml"/><Relationship Id="rId105" Type="http://schemas.openxmlformats.org/officeDocument/2006/relationships/externalLink" Target="externalLinks/externalLink93.xml"/><Relationship Id="rId126" Type="http://schemas.openxmlformats.org/officeDocument/2006/relationships/externalLink" Target="externalLinks/externalLink114.xml"/><Relationship Id="rId147" Type="http://schemas.openxmlformats.org/officeDocument/2006/relationships/externalLink" Target="externalLinks/externalLink135.xml"/><Relationship Id="rId168" Type="http://schemas.openxmlformats.org/officeDocument/2006/relationships/externalLink" Target="externalLinks/externalLink156.xml"/><Relationship Id="rId51" Type="http://schemas.openxmlformats.org/officeDocument/2006/relationships/externalLink" Target="externalLinks/externalLink39.xml"/><Relationship Id="rId72" Type="http://schemas.openxmlformats.org/officeDocument/2006/relationships/externalLink" Target="externalLinks/externalLink60.xml"/><Relationship Id="rId93" Type="http://schemas.openxmlformats.org/officeDocument/2006/relationships/externalLink" Target="externalLinks/externalLink81.xml"/><Relationship Id="rId189" Type="http://schemas.openxmlformats.org/officeDocument/2006/relationships/externalLink" Target="externalLinks/externalLink177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2.xml"/><Relationship Id="rId235" Type="http://schemas.openxmlformats.org/officeDocument/2006/relationships/externalLink" Target="externalLinks/externalLink223.xml"/><Relationship Id="rId116" Type="http://schemas.openxmlformats.org/officeDocument/2006/relationships/externalLink" Target="externalLinks/externalLink104.xml"/><Relationship Id="rId137" Type="http://schemas.openxmlformats.org/officeDocument/2006/relationships/externalLink" Target="externalLinks/externalLink125.xml"/><Relationship Id="rId158" Type="http://schemas.openxmlformats.org/officeDocument/2006/relationships/externalLink" Target="externalLinks/externalLink146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50.xml"/><Relationship Id="rId83" Type="http://schemas.openxmlformats.org/officeDocument/2006/relationships/externalLink" Target="externalLinks/externalLink71.xml"/><Relationship Id="rId179" Type="http://schemas.openxmlformats.org/officeDocument/2006/relationships/externalLink" Target="externalLinks/externalLink167.xml"/><Relationship Id="rId190" Type="http://schemas.openxmlformats.org/officeDocument/2006/relationships/externalLink" Target="externalLinks/externalLink178.xml"/><Relationship Id="rId204" Type="http://schemas.openxmlformats.org/officeDocument/2006/relationships/externalLink" Target="externalLinks/externalLink192.xml"/><Relationship Id="rId225" Type="http://schemas.openxmlformats.org/officeDocument/2006/relationships/externalLink" Target="externalLinks/externalLink213.xml"/><Relationship Id="rId246" Type="http://schemas.microsoft.com/office/2017/10/relationships/person" Target="persons/person.xml"/><Relationship Id="rId106" Type="http://schemas.openxmlformats.org/officeDocument/2006/relationships/externalLink" Target="externalLinks/externalLink94.xml"/><Relationship Id="rId127" Type="http://schemas.openxmlformats.org/officeDocument/2006/relationships/externalLink" Target="externalLinks/externalLink1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157</xdr:col>
      <xdr:colOff>629478</xdr:colOff>
      <xdr:row>21</xdr:row>
      <xdr:rowOff>132521</xdr:rowOff>
    </xdr:from>
    <xdr:to>
      <xdr:col>157</xdr:col>
      <xdr:colOff>629478</xdr:colOff>
      <xdr:row>38</xdr:row>
      <xdr:rowOff>66261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C2DEFEB-7437-59D1-9E00-EAA38C25AC65}"/>
            </a:ext>
          </a:extLst>
        </xdr:cNvPr>
        <xdr:cNvCxnSpPr/>
      </xdr:nvCxnSpPr>
      <xdr:spPr>
        <a:xfrm flipV="1">
          <a:off x="106588891" y="3611217"/>
          <a:ext cx="0" cy="15902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LY.xlsx" TargetMode="External"/><Relationship Id="rId1" Type="http://schemas.openxmlformats.org/officeDocument/2006/relationships/externalLinkPath" Target="LL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NJ.xlsx" TargetMode="External"/><Relationship Id="rId1" Type="http://schemas.openxmlformats.org/officeDocument/2006/relationships/externalLinkPath" Target="JNJ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BV.xlsx" TargetMode="External"/><Relationship Id="rId1" Type="http://schemas.openxmlformats.org/officeDocument/2006/relationships/externalLinkPath" Target="ABBV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RK.xlsx" TargetMode="External"/><Relationship Id="rId1" Type="http://schemas.openxmlformats.org/officeDocument/2006/relationships/externalLinkPath" Target="MR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VS.xlsx" TargetMode="External"/><Relationship Id="rId1" Type="http://schemas.openxmlformats.org/officeDocument/2006/relationships/externalLinkPath" Target="NV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OG%20VX.xlsx" TargetMode="External"/><Relationship Id="rId1" Type="http://schemas.openxmlformats.org/officeDocument/2006/relationships/externalLinkPath" Target="ROG%20VX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ZN.xlsx" TargetMode="External"/><Relationship Id="rId1" Type="http://schemas.openxmlformats.org/officeDocument/2006/relationships/externalLinkPath" Target="AZN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MGN.xlsx" TargetMode="External"/><Relationship Id="rId1" Type="http://schemas.openxmlformats.org/officeDocument/2006/relationships/externalLinkPath" Target="AMG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OVOB.xlsx" TargetMode="External"/><Relationship Id="rId1" Type="http://schemas.openxmlformats.org/officeDocument/2006/relationships/externalLinkPath" Target="NOVOB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FE.xlsx" TargetMode="External"/><Relationship Id="rId1" Type="http://schemas.openxmlformats.org/officeDocument/2006/relationships/externalLinkPath" Target="PF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ILD.xlsx" TargetMode="External"/><Relationship Id="rId1" Type="http://schemas.openxmlformats.org/officeDocument/2006/relationships/externalLinkPath" Target="GIL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MY.xlsx" TargetMode="External"/><Relationship Id="rId1" Type="http://schemas.openxmlformats.org/officeDocument/2006/relationships/externalLinkPath" Target="BM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SK.xlsx" TargetMode="External"/><Relationship Id="rId1" Type="http://schemas.openxmlformats.org/officeDocument/2006/relationships/externalLinkPath" Target="GSK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AN%20FP.xlsx" TargetMode="External"/><Relationship Id="rId1" Type="http://schemas.openxmlformats.org/officeDocument/2006/relationships/externalLinkPath" Target="SAN%20FP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SAN%20F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TX.xlsx" TargetMode="External"/><Relationship Id="rId1" Type="http://schemas.openxmlformats.org/officeDocument/2006/relationships/externalLinkPath" Target="VRTX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AYN%20GY.xlsx" TargetMode="External"/><Relationship Id="rId1" Type="http://schemas.openxmlformats.org/officeDocument/2006/relationships/externalLinkPath" Target="BAYN%20G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4502%20Takeda.xlsx" TargetMode="External"/><Relationship Id="rId1" Type="http://schemas.openxmlformats.org/officeDocument/2006/relationships/externalLinkPath" Target="4502%20Takeda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RK%20GR.xlsx" TargetMode="External"/><Relationship Id="rId1" Type="http://schemas.openxmlformats.org/officeDocument/2006/relationships/externalLinkPath" Target="MRK%20G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4519%20Chugai.xlsx" TargetMode="External"/><Relationship Id="rId1" Type="http://schemas.openxmlformats.org/officeDocument/2006/relationships/externalLinkPath" Target="4519%20Chugai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EGN.xlsx" TargetMode="External"/><Relationship Id="rId1" Type="http://schemas.openxmlformats.org/officeDocument/2006/relationships/externalLinkPath" Target="REG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un%20Pharmaceutical.xlsx" TargetMode="External"/><Relationship Id="rId1" Type="http://schemas.openxmlformats.org/officeDocument/2006/relationships/externalLinkPath" Target="Sun%20Pharmaceutical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EVA.xlsx" TargetMode="External"/><Relationship Id="rId1" Type="http://schemas.openxmlformats.org/officeDocument/2006/relationships/externalLinkPath" Target="TEVA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ALD.xlsx" TargetMode="External"/><Relationship Id="rId1" Type="http://schemas.openxmlformats.org/officeDocument/2006/relationships/externalLinkPath" Target="GALD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RGX.xlsx" TargetMode="External"/><Relationship Id="rId1" Type="http://schemas.openxmlformats.org/officeDocument/2006/relationships/externalLinkPath" Target="ARGX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SL%20AU.xlsx" TargetMode="External"/><Relationship Id="rId1" Type="http://schemas.openxmlformats.org/officeDocument/2006/relationships/externalLinkPath" Target="CSL%20AU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207940%20Samsung%20Biologics.xlsx" TargetMode="External"/><Relationship Id="rId1" Type="http://schemas.openxmlformats.org/officeDocument/2006/relationships/externalLinkPath" Target="207940%20Samsung%20Biologics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UCB.xlsx" TargetMode="External"/><Relationship Id="rId1" Type="http://schemas.openxmlformats.org/officeDocument/2006/relationships/externalLinkPath" Target="UCB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PRX.xlsx" TargetMode="External"/><Relationship Id="rId1" Type="http://schemas.openxmlformats.org/officeDocument/2006/relationships/externalLinkPath" Target="RPRX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VMD.xlsx" TargetMode="External"/><Relationship Id="rId1" Type="http://schemas.openxmlformats.org/officeDocument/2006/relationships/externalLinkPath" Target="RVM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IIB.xlsx" TargetMode="External"/><Relationship Id="rId1" Type="http://schemas.openxmlformats.org/officeDocument/2006/relationships/externalLinkPath" Target="BIIB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TRS.xlsx" TargetMode="External"/><Relationship Id="rId1" Type="http://schemas.openxmlformats.org/officeDocument/2006/relationships/externalLinkPath" Target="VTRS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068270%20Celltrion.xlsx" TargetMode="External"/><Relationship Id="rId1" Type="http://schemas.openxmlformats.org/officeDocument/2006/relationships/externalLinkPath" Target="068270%20Celltr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GNE.xlsx" TargetMode="External"/><Relationship Id="rId1" Type="http://schemas.openxmlformats.org/officeDocument/2006/relationships/externalLinkPath" Target="BGNE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4578%20Otsuka.xlsx" TargetMode="External"/><Relationship Id="rId1" Type="http://schemas.openxmlformats.org/officeDocument/2006/relationships/externalLinkPath" Target="4578%20Otsuka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DZ.xlsx" TargetMode="External"/><Relationship Id="rId1" Type="http://schemas.openxmlformats.org/officeDocument/2006/relationships/externalLinkPath" Target="SDZ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4568%20JP%20Daiichi%20Sankyo.xlsx" TargetMode="External"/><Relationship Id="rId1" Type="http://schemas.openxmlformats.org/officeDocument/2006/relationships/externalLinkPath" Target="4568%20JP%20Daiichi%20Sankyo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4503%20JP.xlsx" TargetMode="External"/><Relationship Id="rId1" Type="http://schemas.openxmlformats.org/officeDocument/2006/relationships/externalLinkPath" Target="4503%20JP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LNY.xlsx" TargetMode="External"/><Relationship Id="rId1" Type="http://schemas.openxmlformats.org/officeDocument/2006/relationships/externalLinkPath" Target="ALNY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OIV.xlsx" TargetMode="External"/><Relationship Id="rId1" Type="http://schemas.openxmlformats.org/officeDocument/2006/relationships/externalLinkPath" Target="ROIV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MAB.xlsx" TargetMode="External"/><Relationship Id="rId1" Type="http://schemas.openxmlformats.org/officeDocument/2006/relationships/externalLinkPath" Target="GMAB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AX.xlsx" TargetMode="External"/><Relationship Id="rId1" Type="http://schemas.openxmlformats.org/officeDocument/2006/relationships/externalLinkPath" Target="BAX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NSM.xlsx" TargetMode="External"/><Relationship Id="rId1" Type="http://schemas.openxmlformats.org/officeDocument/2006/relationships/externalLinkPath" Target="INSM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NCY.xlsx" TargetMode="External"/><Relationship Id="rId1" Type="http://schemas.openxmlformats.org/officeDocument/2006/relationships/externalLinkPath" Target="INCY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UTHR.xlsx" TargetMode="External"/><Relationship Id="rId1" Type="http://schemas.openxmlformats.org/officeDocument/2006/relationships/externalLinkPath" Target="UTHR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JAZZ.xlsx" TargetMode="External"/><Relationship Id="rId1" Type="http://schemas.openxmlformats.org/officeDocument/2006/relationships/externalLinkPath" Target="JAZZ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RNA.xlsx" TargetMode="External"/><Relationship Id="rId1" Type="http://schemas.openxmlformats.org/officeDocument/2006/relationships/externalLinkPath" Target="MRNA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RFS.xlsx" TargetMode="External"/><Relationship Id="rId1" Type="http://schemas.openxmlformats.org/officeDocument/2006/relationships/externalLinkPath" Target="GRFS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XEL.xlsx" TargetMode="External"/><Relationship Id="rId1" Type="http://schemas.openxmlformats.org/officeDocument/2006/relationships/externalLinkPath" Target="EXEL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EC.xlsx" TargetMode="External"/><Relationship Id="rId1" Type="http://schemas.openxmlformats.org/officeDocument/2006/relationships/externalLinkPath" Target="REC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GN.xlsx" TargetMode="External"/><Relationship Id="rId1" Type="http://schemas.openxmlformats.org/officeDocument/2006/relationships/externalLinkPath" Target="OGN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HALO.xlsx" TargetMode="External"/><Relationship Id="rId1" Type="http://schemas.openxmlformats.org/officeDocument/2006/relationships/externalLinkPath" Target="HALO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BIX.xlsx" TargetMode="External"/><Relationship Id="rId1" Type="http://schemas.openxmlformats.org/officeDocument/2006/relationships/externalLinkPath" Target="NBIX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ORNBV.xlsx" TargetMode="External"/><Relationship Id="rId1" Type="http://schemas.openxmlformats.org/officeDocument/2006/relationships/externalLinkPath" Target="ORNBV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MRN.xlsx" TargetMode="External"/><Relationship Id="rId1" Type="http://schemas.openxmlformats.org/officeDocument/2006/relationships/externalLinkPath" Target="BMRN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BIO.xlsx" TargetMode="External"/><Relationship Id="rId1" Type="http://schemas.openxmlformats.org/officeDocument/2006/relationships/externalLinkPath" Target="BBIO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YTK.xlsx" TargetMode="External"/><Relationship Id="rId1" Type="http://schemas.openxmlformats.org/officeDocument/2006/relationships/externalLinkPath" Target="CYTK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RWR.xlsx" TargetMode="External"/><Relationship Id="rId1" Type="http://schemas.openxmlformats.org/officeDocument/2006/relationships/externalLinkPath" Target="ARWR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PN%20FP.xlsx" TargetMode="External"/><Relationship Id="rId1" Type="http://schemas.openxmlformats.org/officeDocument/2006/relationships/externalLinkPath" Target="IPN%20FP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MMT.xlsx" TargetMode="External"/><Relationship Id="rId1" Type="http://schemas.openxmlformats.org/officeDocument/2006/relationships/externalLinkPath" Target="SMMT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NTX.xlsx" TargetMode="External"/><Relationship Id="rId1" Type="http://schemas.openxmlformats.org/officeDocument/2006/relationships/externalLinkPath" Target="BNTX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SND.xlsx" TargetMode="External"/><Relationship Id="rId1" Type="http://schemas.openxmlformats.org/officeDocument/2006/relationships/externalLinkPath" Target="ASND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NTH.xlsx" TargetMode="External"/><Relationship Id="rId1" Type="http://schemas.openxmlformats.org/officeDocument/2006/relationships/externalLinkPath" Target="LNTH.xlsx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CVX.xlsx" TargetMode="External"/><Relationship Id="rId1" Type="http://schemas.openxmlformats.org/officeDocument/2006/relationships/externalLinkPath" Target="PCVX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ONS.xlsx" TargetMode="External"/><Relationship Id="rId1" Type="http://schemas.openxmlformats.org/officeDocument/2006/relationships/externalLinkPath" Target="IONS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4151%20JP.xlsx" TargetMode="External"/><Relationship Id="rId1" Type="http://schemas.openxmlformats.org/officeDocument/2006/relationships/externalLinkPath" Target="4151%20JP.xlsx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RGO.xlsx" TargetMode="External"/><Relationship Id="rId1" Type="http://schemas.openxmlformats.org/officeDocument/2006/relationships/externalLinkPath" Target="PRGO.xlsx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DGL.xlsx" TargetMode="External"/><Relationship Id="rId1" Type="http://schemas.openxmlformats.org/officeDocument/2006/relationships/externalLinkPath" Target="MDGL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VX.xlsx" TargetMode="External"/><Relationship Id="rId1" Type="http://schemas.openxmlformats.org/officeDocument/2006/relationships/externalLinkPath" Target="ABVX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GTX.xlsx" TargetMode="External"/><Relationship Id="rId1" Type="http://schemas.openxmlformats.org/officeDocument/2006/relationships/externalLinkPath" Target="TGTX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AXSM.xlsx" TargetMode="External"/><Relationship Id="rId1" Type="http://schemas.openxmlformats.org/officeDocument/2006/relationships/externalLinkPath" Target="AXSM.xlsx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PGE.xlsx" TargetMode="External"/><Relationship Id="rId1" Type="http://schemas.openxmlformats.org/officeDocument/2006/relationships/externalLinkPath" Target="APGE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RAX.xlsx" TargetMode="External"/><Relationship Id="rId1" Type="http://schemas.openxmlformats.org/officeDocument/2006/relationships/externalLinkPath" Target="PRAX.xlsx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LKS.xlsx" TargetMode="External"/><Relationship Id="rId1" Type="http://schemas.openxmlformats.org/officeDocument/2006/relationships/externalLinkPath" Target="ALKS.xlsx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YS.xlsx" TargetMode="External"/><Relationship Id="rId1" Type="http://schemas.openxmlformats.org/officeDocument/2006/relationships/externalLinkPath" Target="KRYS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TGX.xlsx" TargetMode="External"/><Relationship Id="rId1" Type="http://schemas.openxmlformats.org/officeDocument/2006/relationships/externalLinkPath" Target="PTGX.xlsx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\code\models\KYMR.xlsx" TargetMode="External"/><Relationship Id="rId1" Type="http://schemas.openxmlformats.org/officeDocument/2006/relationships/externalLinkPath" Target="KYMR.xlsx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4523%20JP.xlsx" TargetMode="External"/><Relationship Id="rId1" Type="http://schemas.openxmlformats.org/officeDocument/2006/relationships/externalLinkPath" Target="4523%20JP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BRX.xlsx" TargetMode="External"/><Relationship Id="rId1" Type="http://schemas.openxmlformats.org/officeDocument/2006/relationships/externalLinkPath" Target="IBRX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LQDA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YTM.xlsx" TargetMode="External"/><Relationship Id="rId1" Type="http://schemas.openxmlformats.org/officeDocument/2006/relationships/externalLinkPath" Target="RYTM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LTE.xlsx" TargetMode="External"/><Relationship Id="rId1" Type="http://schemas.openxmlformats.org/officeDocument/2006/relationships/externalLinkPath" Target="BLTE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RRK.xlsx" TargetMode="External"/><Relationship Id="rId1" Type="http://schemas.openxmlformats.org/officeDocument/2006/relationships/externalLinkPath" Target="SRRK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RAS.xlsx" TargetMode="External"/><Relationship Id="rId1" Type="http://schemas.openxmlformats.org/officeDocument/2006/relationships/externalLinkPath" Target="ERAS.xlsx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LUN.xlsx" TargetMode="External"/><Relationship Id="rId1" Type="http://schemas.openxmlformats.org/officeDocument/2006/relationships/externalLinkPath" Target="HLUN.xlsx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IK%20LN.xlsx" TargetMode="External"/><Relationship Id="rId1" Type="http://schemas.openxmlformats.org/officeDocument/2006/relationships/externalLinkPath" Target="HIK%20LN.xlsx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RSP.xlsx" TargetMode="External"/><Relationship Id="rId1" Type="http://schemas.openxmlformats.org/officeDocument/2006/relationships/externalLinkPath" Target="CRSP.xlsx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CAD.xlsx" TargetMode="External"/><Relationship Id="rId1" Type="http://schemas.openxmlformats.org/officeDocument/2006/relationships/externalLinkPath" Target="ACAD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YN.xlsx" TargetMode="External"/><Relationship Id="rId1" Type="http://schemas.openxmlformats.org/officeDocument/2006/relationships/externalLinkPath" Target="DYN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ANE.xlsx" TargetMode="External"/><Relationship Id="rId1" Type="http://schemas.openxmlformats.org/officeDocument/2006/relationships/externalLinkPath" Target="MANE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WTX.xlsx" TargetMode="External"/><Relationship Id="rId1" Type="http://schemas.openxmlformats.org/officeDocument/2006/relationships/externalLinkPath" Target="EWTX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ELC.xlsx" TargetMode="External"/><Relationship Id="rId1" Type="http://schemas.openxmlformats.org/officeDocument/2006/relationships/externalLinkPath" Target="CELC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DNLI.xlsx" TargetMode="External"/><Relationship Id="rId1" Type="http://schemas.openxmlformats.org/officeDocument/2006/relationships/externalLinkPath" Target="DNLI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KTX.xlsx" TargetMode="External"/><Relationship Id="rId1" Type="http://schemas.openxmlformats.org/officeDocument/2006/relationships/externalLinkPath" Target="VKTX.xlsx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EGN.xlsx" TargetMode="External"/><Relationship Id="rId1" Type="http://schemas.openxmlformats.org/officeDocument/2006/relationships/externalLinkPath" Target="LEGN.xlsx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AMS.xlsx" TargetMode="External"/><Relationship Id="rId1" Type="http://schemas.openxmlformats.org/officeDocument/2006/relationships/externalLinkPath" Target="NAMS.xlsx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DYA.xlsx" TargetMode="External"/><Relationship Id="rId1" Type="http://schemas.openxmlformats.org/officeDocument/2006/relationships/externalLinkPath" Target="IDYA.xlsx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PCR.xlsx" TargetMode="External"/><Relationship Id="rId1" Type="http://schemas.openxmlformats.org/officeDocument/2006/relationships/externalLinkPath" Target="GPCR.xlsx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EAM.xlsx" TargetMode="External"/><Relationship Id="rId1" Type="http://schemas.openxmlformats.org/officeDocument/2006/relationships/externalLinkPath" Target="BEAM.xlsx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RDN.xlsx" TargetMode="External"/><Relationship Id="rId1" Type="http://schemas.openxmlformats.org/officeDocument/2006/relationships/externalLinkPath" Target="VRDN.xlsx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RVI.xlsx" TargetMode="External"/><Relationship Id="rId1" Type="http://schemas.openxmlformats.org/officeDocument/2006/relationships/externalLinkPath" Target="TRVI.xlsx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GEN.xlsx" TargetMode="External"/><Relationship Id="rId1" Type="http://schemas.openxmlformats.org/officeDocument/2006/relationships/externalLinkPath" Target="PGEN.xlsx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NKTR.xlsx" TargetMode="External"/><Relationship Id="rId1" Type="http://schemas.openxmlformats.org/officeDocument/2006/relationships/externalLinkPath" Target="NKTR.xlsx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LVO.xlsx" TargetMode="External"/><Relationship Id="rId1" Type="http://schemas.openxmlformats.org/officeDocument/2006/relationships/externalLinkPath" Target="ALVO.xlsx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FOLD.xlsx" TargetMode="External"/><Relationship Id="rId1" Type="http://schemas.openxmlformats.org/officeDocument/2006/relationships/externalLinkPath" Target="FOLD.xlsx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CL.xlsx" TargetMode="External"/><Relationship Id="rId1" Type="http://schemas.openxmlformats.org/officeDocument/2006/relationships/externalLinkPath" Target="ABCL.xlsx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ARE.xlsx" TargetMode="External"/><Relationship Id="rId1" Type="http://schemas.openxmlformats.org/officeDocument/2006/relationships/externalLinkPath" Target="RARE.xlsx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AMLX.xlsx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CRX.xlsx" TargetMode="External"/><Relationship Id="rId1" Type="http://schemas.openxmlformats.org/officeDocument/2006/relationships/externalLinkPath" Target="BCRX.xlsx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ERA.xlsx" TargetMode="External"/><Relationship Id="rId1" Type="http://schemas.openxmlformats.org/officeDocument/2006/relationships/externalLinkPath" Target="VERA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UVB.xlsx" TargetMode="External"/><Relationship Id="rId1" Type="http://schemas.openxmlformats.org/officeDocument/2006/relationships/externalLinkPath" Target="NUVB.xlsx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CLX.xlsx" TargetMode="External"/><Relationship Id="rId1" Type="http://schemas.openxmlformats.org/officeDocument/2006/relationships/externalLinkPath" Target="ACLX.xlsx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NA.xlsx" TargetMode="External"/><Relationship Id="rId1" Type="http://schemas.openxmlformats.org/officeDocument/2006/relationships/externalLinkPath" Target="RNA.xlsx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RPT.xlsx" TargetMode="External"/><Relationship Id="rId1" Type="http://schemas.openxmlformats.org/officeDocument/2006/relationships/externalLinkPath" Target="SRPT.xlsx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MPH.xlsx" TargetMode="External"/><Relationship Id="rId1" Type="http://schemas.openxmlformats.org/officeDocument/2006/relationships/externalLinkPath" Target="AMPH.xlsx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BHVN.xlsx" TargetMode="External"/><Relationship Id="rId1" Type="http://schemas.openxmlformats.org/officeDocument/2006/relationships/externalLinkPath" Target="BHVN.xlsx" TargetMode="External"/></Relationships>
</file>

<file path=xl/externalLinks/_rels/externalLink1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302440%20KS.xlsx" TargetMode="External"/><Relationship Id="rId1" Type="http://schemas.openxmlformats.org/officeDocument/2006/relationships/externalLinkPath" Target="302440%20KS.xlsx" TargetMode="External"/></Relationships>
</file>

<file path=xl/externalLinks/_rels/externalLink1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JANX.xlsx" TargetMode="External"/><Relationship Id="rId1" Type="http://schemas.openxmlformats.org/officeDocument/2006/relationships/externalLinkPath" Target="JANX.xlsx" TargetMode="External"/></Relationships>
</file>

<file path=xl/externalLinks/_rels/externalLink1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DMA.xlsx" TargetMode="External"/><Relationship Id="rId1" Type="http://schemas.openxmlformats.org/officeDocument/2006/relationships/externalLinkPath" Target="ADMA.xlsx" TargetMode="External"/></Relationships>
</file>

<file path=xl/externalLinks/_rels/externalLink1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XRX.xlsx" TargetMode="External"/><Relationship Id="rId1" Type="http://schemas.openxmlformats.org/officeDocument/2006/relationships/externalLinkPath" Target="RXRX.xlsx" TargetMode="External"/></Relationships>
</file>

<file path=xl/externalLinks/_rels/externalLink1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CKT.xlsx" TargetMode="External"/><Relationship Id="rId1" Type="http://schemas.openxmlformats.org/officeDocument/2006/relationships/externalLinkPath" Target="RCKT.xlsx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NA.xlsx" TargetMode="External"/><Relationship Id="rId1" Type="http://schemas.openxmlformats.org/officeDocument/2006/relationships/externalLinkPath" Target="SANA.xlsx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TLA.xlsx" TargetMode="External"/><Relationship Id="rId1" Type="http://schemas.openxmlformats.org/officeDocument/2006/relationships/externalLinkPath" Target="NTLA.xlsx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OVA.xlsx" TargetMode="External"/><Relationship Id="rId1" Type="http://schemas.openxmlformats.org/officeDocument/2006/relationships/externalLinkPath" Target="IOVA.xlsx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XNCR.xlsx" TargetMode="External"/><Relationship Id="rId1" Type="http://schemas.openxmlformats.org/officeDocument/2006/relationships/externalLinkPath" Target="XNCR.xlsx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EPL.xlsx" TargetMode="External"/><Relationship Id="rId1" Type="http://schemas.openxmlformats.org/officeDocument/2006/relationships/externalLinkPath" Target="REPL.xlsx" TargetMode="External"/></Relationships>
</file>

<file path=xl/externalLinks/_rels/externalLink1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YRA.xlsx" TargetMode="External"/><Relationship Id="rId1" Type="http://schemas.openxmlformats.org/officeDocument/2006/relationships/externalLinkPath" Target="TYRA.xlsx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ARS.xlsx" TargetMode="External"/><Relationship Id="rId1" Type="http://schemas.openxmlformats.org/officeDocument/2006/relationships/externalLinkPath" Target="TARS.xlsx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FDMT.xlsx" TargetMode="External"/><Relationship Id="rId1" Type="http://schemas.openxmlformats.org/officeDocument/2006/relationships/externalLinkPath" Target="FDMT.xlsx" TargetMode="External"/></Relationships>
</file>

<file path=xl/externalLinks/_rels/externalLink1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VN.xlsx" TargetMode="External"/><Relationship Id="rId1" Type="http://schemas.openxmlformats.org/officeDocument/2006/relationships/externalLinkPath" Target="ARVN.xlsx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EVMN.xlsx" TargetMode="External"/><Relationship Id="rId1" Type="http://schemas.openxmlformats.org/officeDocument/2006/relationships/externalLinkPath" Target="EVMN.xlsx" TargetMode="External"/></Relationships>
</file>

<file path=xl/externalLinks/_rels/externalLink1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GEM.xlsx" TargetMode="External"/><Relationship Id="rId1" Type="http://schemas.openxmlformats.org/officeDocument/2006/relationships/externalLinkPath" Target="CGEM.xlsx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CRX.xlsx" TargetMode="External"/><Relationship Id="rId1" Type="http://schemas.openxmlformats.org/officeDocument/2006/relationships/externalLinkPath" Target="TCRX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SIGA.xlsx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AWN.xlsx" TargetMode="External"/><Relationship Id="rId1" Type="http://schemas.openxmlformats.org/officeDocument/2006/relationships/externalLinkPath" Target="DAWN.xlsx" TargetMode="External"/></Relationships>
</file>

<file path=xl/externalLinks/_rels/externalLink1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RVS.xlsx" TargetMode="External"/><Relationship Id="rId1" Type="http://schemas.openxmlformats.org/officeDocument/2006/relationships/externalLinkPath" Target="CRVS.xlsx" TargetMode="External"/></Relationships>
</file>

<file path=xl/externalLinks/_rels/externalLink1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OSS.xlsx" TargetMode="External"/><Relationship Id="rId1" Type="http://schemas.openxmlformats.org/officeDocument/2006/relationships/externalLinkPath" Target="GOSS.xlsx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LS.xlsx" TargetMode="External"/><Relationship Id="rId1" Type="http://schemas.openxmlformats.org/officeDocument/2006/relationships/externalLinkPath" Target="SLS.xlsx" TargetMode="External"/></Relationships>
</file>

<file path=xl/externalLinks/_rels/externalLink1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GIO.xlsx" TargetMode="External"/><Relationship Id="rId1" Type="http://schemas.openxmlformats.org/officeDocument/2006/relationships/externalLinkPath" Target="AGIO.xlsx" TargetMode="External"/></Relationships>
</file>

<file path=xl/externalLinks/_rels/externalLink1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OS.xlsx" TargetMode="External"/><Relationship Id="rId1" Type="http://schemas.openxmlformats.org/officeDocument/2006/relationships/externalLinkPath" Target="KROS.xlsx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VRD.xlsx" TargetMode="External"/><Relationship Id="rId1" Type="http://schemas.openxmlformats.org/officeDocument/2006/relationships/externalLinkPath" Target="TVRD.xlsx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NIP.xlsx" TargetMode="External"/><Relationship Id="rId1" Type="http://schemas.openxmlformats.org/officeDocument/2006/relationships/externalLinkPath" Target="ANIP.xlsx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LMA.xlsx" TargetMode="External"/><Relationship Id="rId1" Type="http://schemas.openxmlformats.org/officeDocument/2006/relationships/externalLinkPath" Target="OLMA.xlsx" TargetMode="External"/></Relationships>
</file>

<file path=xl/externalLinks/_rels/externalLink1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SHA.xlsx" TargetMode="External"/><Relationship Id="rId1" Type="http://schemas.openxmlformats.org/officeDocument/2006/relationships/externalLinkPath" Target="TSHA.xlsx" TargetMode="External"/></Relationships>
</file>

<file path=xl/externalLinks/_rels/externalLink1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XERS.xlsx" TargetMode="External"/><Relationship Id="rId1" Type="http://schemas.openxmlformats.org/officeDocument/2006/relationships/externalLinkPath" Target="XERS.xlsx" TargetMode="External"/></Relationships>
</file>

<file path=xl/externalLinks/_rels/externalLink1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HAR.xlsx" TargetMode="External"/><Relationship Id="rId1" Type="http://schemas.openxmlformats.org/officeDocument/2006/relationships/externalLinkPath" Target="PHA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CYDY.xlsx" TargetMode="External"/></Relationships>
</file>

<file path=xl/externalLinks/_rels/externalLink1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HUMA.xlsx" TargetMode="External"/><Relationship Id="rId1" Type="http://schemas.openxmlformats.org/officeDocument/2006/relationships/externalLinkPath" Target="HUMA.xlsx" TargetMode="External"/></Relationships>
</file>

<file path=xl/externalLinks/_rels/externalLink1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TYR.xlsx" TargetMode="External"/><Relationship Id="rId1" Type="http://schemas.openxmlformats.org/officeDocument/2006/relationships/externalLinkPath" Target="ATYR.xlsx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URGN.xlsx" TargetMode="External"/><Relationship Id="rId1" Type="http://schemas.openxmlformats.org/officeDocument/2006/relationships/externalLinkPath" Target="URGN.xlsx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MGTX.xlsx" TargetMode="External"/><Relationship Id="rId1" Type="http://schemas.openxmlformats.org/officeDocument/2006/relationships/externalLinkPath" Target="MGTX.xlsx" TargetMode="External"/></Relationships>
</file>

<file path=xl/externalLinks/_rels/externalLink1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LTX.xlsx" TargetMode="External"/><Relationship Id="rId1" Type="http://schemas.openxmlformats.org/officeDocument/2006/relationships/externalLinkPath" Target="MLTX.xlsx" TargetMode="External"/></Relationships>
</file>

<file path=xl/externalLinks/_rels/externalLink1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NMB.xlsx" TargetMode="External"/><Relationship Id="rId1" Type="http://schemas.openxmlformats.org/officeDocument/2006/relationships/externalLinkPath" Target="INMB.xlsx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GMT.xlsx" TargetMode="External"/><Relationship Id="rId1" Type="http://schemas.openxmlformats.org/officeDocument/2006/relationships/externalLinkPath" Target="SGMT.xlsx" TargetMode="External"/></Relationships>
</file>

<file path=xl/externalLinks/_rels/externalLink1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MTX.xlsx" TargetMode="External"/><Relationship Id="rId1" Type="http://schemas.openxmlformats.org/officeDocument/2006/relationships/externalLinkPath" Target="IMTX.xlsx" TargetMode="External"/></Relationships>
</file>

<file path=xl/externalLinks/_rels/externalLink1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AZE.xlsx" TargetMode="External"/><Relationship Id="rId1" Type="http://schemas.openxmlformats.org/officeDocument/2006/relationships/externalLinkPath" Target="MAZE.xlsx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YMAB.xlsx" TargetMode="External"/><Relationship Id="rId1" Type="http://schemas.openxmlformats.org/officeDocument/2006/relationships/externalLinkPath" Target="YMAB.xlsx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ALV.xlsx" TargetMode="External"/><Relationship Id="rId1" Type="http://schemas.openxmlformats.org/officeDocument/2006/relationships/externalLinkPath" Target="KALV.xlsx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IRON.xlsx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YPT.xlsx" TargetMode="External"/><Relationship Id="rId1" Type="http://schemas.openxmlformats.org/officeDocument/2006/relationships/externalLinkPath" Target="EYPT.xlsx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LSD.xlsx" TargetMode="External"/><Relationship Id="rId1" Type="http://schemas.openxmlformats.org/officeDocument/2006/relationships/externalLinkPath" Target="CLSD.xlsx" TargetMode="External"/></Relationships>
</file>

<file path=xl/externalLinks/_rels/externalLink1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Q.xlsx" TargetMode="External"/><Relationship Id="rId1" Type="http://schemas.openxmlformats.org/officeDocument/2006/relationships/externalLinkPath" Target="EQ.xlsx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REQ.xlsx" TargetMode="External"/></Relationships>
</file>

<file path=xl/externalLinks/_rels/externalLink1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NKTX.xlsx" TargetMode="External"/><Relationship Id="rId1" Type="http://schemas.openxmlformats.org/officeDocument/2006/relationships/externalLinkPath" Target="NKTX.xlsx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KALA.xlsx" TargetMode="External"/><Relationship Id="rId1" Type="http://schemas.openxmlformats.org/officeDocument/2006/relationships/externalLinkPath" Target="KALA.xlsx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VXL.xlsx" TargetMode="External"/><Relationship Id="rId1" Type="http://schemas.openxmlformats.org/officeDocument/2006/relationships/externalLinkPath" Target="AVXL.xlsx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IMNM.xlsx" TargetMode="External"/><Relationship Id="rId1" Type="http://schemas.openxmlformats.org/officeDocument/2006/relationships/externalLinkPath" Target="IMNM.xlsx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NAB.xlsx" TargetMode="External"/><Relationship Id="rId1" Type="http://schemas.openxmlformats.org/officeDocument/2006/relationships/externalLinkPath" Target="ANAB.xlsx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HRS.xlsx" TargetMode="External"/><Relationship Id="rId1" Type="http://schemas.openxmlformats.org/officeDocument/2006/relationships/externalLinkPath" Target="CHRS.xlsx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BUS.xlsx" TargetMode="External"/><Relationship Id="rId1" Type="http://schemas.openxmlformats.org/officeDocument/2006/relationships/externalLinkPath" Target="ABUS.xlsx" TargetMode="External"/></Relationships>
</file>

<file path=xl/externalLinks/_rels/externalLink1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APR.xlsx" TargetMode="External"/><Relationship Id="rId1" Type="http://schemas.openxmlformats.org/officeDocument/2006/relationships/externalLinkPath" Target="CAPR.xlsx" TargetMode="External"/></Relationships>
</file>

<file path=xl/externalLinks/_rels/externalLink1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MPS.xlsx" TargetMode="External"/><Relationship Id="rId1" Type="http://schemas.openxmlformats.org/officeDocument/2006/relationships/externalLinkPath" Target="CMPS.xlsx" TargetMode="External"/></Relationships>
</file>

<file path=xl/externalLinks/_rels/externalLink1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LRMR.xlsx" TargetMode="External"/><Relationship Id="rId1" Type="http://schemas.openxmlformats.org/officeDocument/2006/relationships/externalLinkPath" Target="LRMR.xlsx" TargetMode="External"/></Relationships>
</file>

<file path=xl/externalLinks/_rels/externalLink1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ECX.xlsx" TargetMode="External"/><Relationship Id="rId1" Type="http://schemas.openxmlformats.org/officeDocument/2006/relationships/externalLinkPath" Target="TECX.xlsx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DRUG.xlsx" TargetMode="External"/><Relationship Id="rId1" Type="http://schemas.openxmlformats.org/officeDocument/2006/relationships/externalLinkPath" Target="DRUG.xlsx" TargetMode="External"/></Relationships>
</file>

<file path=xl/externalLinks/_rels/externalLink1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RZLT.xlsx" TargetMode="External"/><Relationship Id="rId1" Type="http://schemas.openxmlformats.org/officeDocument/2006/relationships/externalLinkPath" Target="RZLT.xlsx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ADL.xlsx" TargetMode="External"/><Relationship Id="rId1" Type="http://schemas.openxmlformats.org/officeDocument/2006/relationships/externalLinkPath" Target="CADL.xlsx" TargetMode="External"/></Relationships>
</file>

<file path=xl/externalLinks/_rels/externalLink1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TOS.xlsx" TargetMode="External"/><Relationship Id="rId1" Type="http://schemas.openxmlformats.org/officeDocument/2006/relationships/externalLinkPath" Target="ATOS.xlsx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BEO.xlsx" TargetMode="External"/><Relationship Id="rId1" Type="http://schemas.openxmlformats.org/officeDocument/2006/relationships/externalLinkPath" Target="ABEO.xlsx" TargetMode="External"/></Relationships>
</file>

<file path=xl/externalLinks/_rels/externalLink1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TNXP.xlsx" TargetMode="External"/><Relationship Id="rId1" Type="http://schemas.openxmlformats.org/officeDocument/2006/relationships/externalLinkPath" Target="TNXP.xlsx" TargetMode="External"/></Relationships>
</file>

<file path=xl/externalLinks/_rels/externalLink1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VYGR.xlsx" TargetMode="External"/><Relationship Id="rId1" Type="http://schemas.openxmlformats.org/officeDocument/2006/relationships/externalLinkPath" Target="VYGR.xlsx" TargetMode="External"/></Relationships>
</file>

<file path=xl/externalLinks/_rels/externalLink1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MNPR.xlsx" TargetMode="External"/><Relationship Id="rId1" Type="http://schemas.openxmlformats.org/officeDocument/2006/relationships/externalLinkPath" Target="MNPR.xlsx" TargetMode="External"/></Relationships>
</file>

<file path=xl/externalLinks/_rels/externalLink1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GHRS.xlsx" TargetMode="External"/><Relationship Id="rId1" Type="http://schemas.openxmlformats.org/officeDocument/2006/relationships/externalLinkPath" Target="GHRS.xlsx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VBP.xlsx" TargetMode="External"/><Relationship Id="rId1" Type="http://schemas.openxmlformats.org/officeDocument/2006/relationships/externalLinkPath" Target="AVBP.xlsx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PROK.xlsx" TargetMode="External"/><Relationship Id="rId1" Type="http://schemas.openxmlformats.org/officeDocument/2006/relationships/externalLinkPath" Target="PROK.xlsx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UTS.xlsx" TargetMode="External"/><Relationship Id="rId1" Type="http://schemas.openxmlformats.org/officeDocument/2006/relationships/externalLinkPath" Target="GUTS.xlsx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VVD.xlsx" TargetMode="External"/><Relationship Id="rId1" Type="http://schemas.openxmlformats.org/officeDocument/2006/relationships/externalLinkPath" Target="IVVD.xlsx" TargetMode="External"/></Relationships>
</file>

<file path=xl/externalLinks/_rels/externalLink1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ELEV.xlsx" TargetMode="External"/><Relationship Id="rId1" Type="http://schemas.openxmlformats.org/officeDocument/2006/relationships/externalLinkPath" Target="ELEV.xlsx" TargetMode="External"/></Relationships>
</file>

<file path=xl/externalLinks/_rels/externalLink1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NMRA.xlsx" TargetMode="External"/><Relationship Id="rId1" Type="http://schemas.openxmlformats.org/officeDocument/2006/relationships/externalLinkPath" Target="NMRA.xlsx" TargetMode="External"/></Relationships>
</file>

<file path=xl/externalLinks/_rels/externalLink1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AVA.xlsx" TargetMode="External"/><Relationship Id="rId1" Type="http://schemas.openxmlformats.org/officeDocument/2006/relationships/externalLinkPath" Target="SAVA.xlsx" TargetMode="External"/></Relationships>
</file>

<file path=xl/externalLinks/_rels/externalLink1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PRB.xlsx" TargetMode="External"/><Relationship Id="rId1" Type="http://schemas.openxmlformats.org/officeDocument/2006/relationships/externalLinkPath" Target="SPRB.xlsx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GALT.xlsx" TargetMode="External"/><Relationship Id="rId1" Type="http://schemas.openxmlformats.org/officeDocument/2006/relationships/externalLinkPath" Target="GALT.xlsx" TargetMode="External"/></Relationships>
</file>

<file path=xl/externalLinks/_rels/externalLink1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DCTH.xlsx" TargetMode="External"/><Relationship Id="rId1" Type="http://schemas.openxmlformats.org/officeDocument/2006/relationships/externalLinkPath" Target="DCTH.xlsx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TENX.xlsx" TargetMode="External"/><Relationship Id="rId1" Type="http://schemas.openxmlformats.org/officeDocument/2006/relationships/externalLinkPath" Target="TENX.xlsx" TargetMode="External"/></Relationships>
</file>

<file path=xl/externalLinks/_rels/externalLink1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QTTB.xlsx" TargetMode="External"/><Relationship Id="rId1" Type="http://schemas.openxmlformats.org/officeDocument/2006/relationships/externalLinkPath" Target="QTTB.xlsx" TargetMode="External"/></Relationships>
</file>

<file path=xl/externalLinks/_rels/externalLink1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CABA.xlsx" TargetMode="External"/><Relationship Id="rId1" Type="http://schemas.openxmlformats.org/officeDocument/2006/relationships/externalLinkPath" Target="CABA.xlsx" TargetMode="External"/></Relationships>
</file>

<file path=xl/externalLinks/_rels/externalLink1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PDSB.xlsx" TargetMode="External"/><Relationship Id="rId1" Type="http://schemas.openxmlformats.org/officeDocument/2006/relationships/externalLinkPath" Target="PDSB.xlsx" TargetMode="External"/></Relationships>
</file>

<file path=xl/externalLinks/_rels/externalLink1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RTV.xlsx" TargetMode="External"/><Relationship Id="rId1" Type="http://schemas.openxmlformats.org/officeDocument/2006/relationships/externalLinkPath" Target="ARTV.xlsx" TargetMode="External"/></Relationships>
</file>

<file path=xl/externalLinks/_rels/externalLink1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PTX.xlsx" TargetMode="External"/><Relationship Id="rId1" Type="http://schemas.openxmlformats.org/officeDocument/2006/relationships/externalLinkPath" Target="LPTX.xlsx" TargetMode="External"/></Relationships>
</file>

<file path=xl/externalLinks/_rels/externalLink2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VPH.xlsx" TargetMode="External"/><Relationship Id="rId1" Type="http://schemas.openxmlformats.org/officeDocument/2006/relationships/externalLinkPath" Target="RVPH.xlsx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MUX.xlsx" TargetMode="External"/><Relationship Id="rId1" Type="http://schemas.openxmlformats.org/officeDocument/2006/relationships/externalLinkPath" Target="IMUX.xlsx" TargetMode="External"/></Relationships>
</file>

<file path=xl/externalLinks/_rels/externalLink20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LGS.xlsx" TargetMode="External"/><Relationship Id="rId1" Type="http://schemas.openxmlformats.org/officeDocument/2006/relationships/externalLinkPath" Target="ALGS.xlsx" TargetMode="External"/></Relationships>
</file>

<file path=xl/externalLinks/_rels/externalLink20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RFL.xlsx" TargetMode="External"/><Relationship Id="rId1" Type="http://schemas.openxmlformats.org/officeDocument/2006/relationships/externalLinkPath" Target="RFL.xlsx" TargetMode="External"/></Relationships>
</file>

<file path=xl/externalLinks/_rels/externalLink2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CUE.xlsx" TargetMode="External"/><Relationship Id="rId1" Type="http://schemas.openxmlformats.org/officeDocument/2006/relationships/externalLinkPath" Target="CUE.xlsx" TargetMode="External"/></Relationships>
</file>

<file path=xl/externalLinks/_rels/externalLink20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CET.xlsx" TargetMode="External"/><Relationship Id="rId1" Type="http://schemas.openxmlformats.org/officeDocument/2006/relationships/externalLinkPath" Target="ACET.xlsx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AVTX.xlsx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TCON.xlsx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PHAS.xlsx" TargetMode="External"/></Relationships>
</file>

<file path=xl/externalLinks/_rels/externalLink20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KRON.xlsx" TargetMode="External"/><Relationship Id="rId1" Type="http://schemas.openxmlformats.org/officeDocument/2006/relationships/externalLinkPath" Target="KRON.xlsx" TargetMode="External"/></Relationships>
</file>

<file path=xl/externalLinks/_rels/externalLink2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CRV.xlsx" TargetMode="External"/><Relationship Id="rId1" Type="http://schemas.openxmlformats.org/officeDocument/2006/relationships/externalLinkPath" Target="ACRV.xlsx" TargetMode="External"/></Relationships>
</file>

<file path=xl/externalLinks/_rels/externalLink2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OVID.xlsx" TargetMode="External"/><Relationship Id="rId1" Type="http://schemas.openxmlformats.org/officeDocument/2006/relationships/externalLinkPath" Target="OVID.xlsx" TargetMode="External"/></Relationships>
</file>

<file path=xl/externalLinks/_rels/externalLink2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shkreli\code\models\APLT.xlsx" TargetMode="External"/><Relationship Id="rId1" Type="http://schemas.openxmlformats.org/officeDocument/2006/relationships/externalLinkPath" Target="APLT.xlsx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EXAI.xlsx" TargetMode="External"/></Relationships>
</file>

<file path=xl/externalLinks/_rels/externalLink2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VERU.xlsx" TargetMode="External"/><Relationship Id="rId1" Type="http://schemas.openxmlformats.org/officeDocument/2006/relationships/externalLinkPath" Target="VERU.xlsx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ZNTL.xlsx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9ffda80931a57275/Models%20Backup/BIOR.xlsx" TargetMode="External"/></Relationships>
</file>

<file path=xl/externalLinks/_rels/externalLink2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3692%20HK%20Hansoh.xlsx" TargetMode="External"/><Relationship Id="rId1" Type="http://schemas.openxmlformats.org/officeDocument/2006/relationships/externalLinkPath" Target="3692%20HK%20Hansoh.xlsx" TargetMode="External"/></Relationships>
</file>

<file path=xl/externalLinks/_rels/externalLink2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1177%20HK%20Sino.xlsx" TargetMode="External"/><Relationship Id="rId1" Type="http://schemas.openxmlformats.org/officeDocument/2006/relationships/externalLinkPath" Target="1177%20HK%20Sino.xlsx" TargetMode="External"/></Relationships>
</file>

<file path=xl/externalLinks/_rels/externalLink2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196%20HK.xlsx" TargetMode="External"/><Relationship Id="rId1" Type="http://schemas.openxmlformats.org/officeDocument/2006/relationships/externalLinkPath" Target="2196%20HK.xlsx" TargetMode="External"/></Relationships>
</file>

<file path=xl/externalLinks/_rels/externalLink2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1877%20HK.xlsx" TargetMode="External"/><Relationship Id="rId1" Type="http://schemas.openxmlformats.org/officeDocument/2006/relationships/externalLinkPath" Target="1877%20HK.xlsx" TargetMode="External"/></Relationships>
</file>

<file path=xl/externalLinks/_rels/externalLink2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2269%20HK%20WuXi%20Biologics.xlsx" TargetMode="External"/><Relationship Id="rId1" Type="http://schemas.openxmlformats.org/officeDocument/2006/relationships/externalLinkPath" Target="2269%20HK%20WuXi%20Biologics.xlsx" TargetMode="External"/></Relationships>
</file>

<file path=xl/externalLinks/_rels/externalLink2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ITCI.xlsx" TargetMode="External"/><Relationship Id="rId1" Type="http://schemas.openxmlformats.org/officeDocument/2006/relationships/externalLinkPath" Target="ITCI.xlsx" TargetMode="External"/></Relationships>
</file>

<file path=xl/externalLinks/_rels/externalLink2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LBPH.xlsx" TargetMode="External"/><Relationship Id="rId1" Type="http://schemas.openxmlformats.org/officeDocument/2006/relationships/externalLinkPath" Target="LBPH.xlsx" TargetMode="External"/></Relationships>
</file>

<file path=xl/externalLinks/_rels/externalLink2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BPMC.xlsx" TargetMode="External"/><Relationship Id="rId1" Type="http://schemas.openxmlformats.org/officeDocument/2006/relationships/externalLinkPath" Target="BPMC.xlsx" TargetMode="External"/></Relationships>
</file>

<file path=xl/externalLinks/_rels/externalLink2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SWTX.xlsx" TargetMode="External"/><Relationship Id="rId1" Type="http://schemas.openxmlformats.org/officeDocument/2006/relationships/externalLinkPath" Target="SWTX.xlsx" TargetMode="External"/></Relationships>
</file>

<file path=xl/externalLinks/_rels/externalLink2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AKRO.xlsx" TargetMode="External"/><Relationship Id="rId1" Type="http://schemas.openxmlformats.org/officeDocument/2006/relationships/externalLinkPath" Target="AKRO.xlsx" TargetMode="External"/></Relationships>
</file>

<file path=xl/externalLinks/_rels/externalLink2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kre\code\models\APLS.xlsx" TargetMode="External"/><Relationship Id="rId1" Type="http://schemas.openxmlformats.org/officeDocument/2006/relationships/externalLinkPath" Target="APLS.xlsx" TargetMode="External"/></Relationships>
</file>

<file path=xl/externalLinks/_rels/externalLink2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%20Shkreli%20-%20DL\models\SLNO.xlsx" TargetMode="External"/><Relationship Id="rId1" Type="http://schemas.openxmlformats.org/officeDocument/2006/relationships/externalLinkPath" Target="SLNO.xlsx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S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IP"/>
      <sheetName val="Trials"/>
      <sheetName val="Main"/>
      <sheetName val="Model"/>
      <sheetName val="Mounjaro-Zepbound"/>
      <sheetName val="GLP-1 Commercial"/>
      <sheetName val="GLP-1 Clinical"/>
      <sheetName val="Obesity"/>
      <sheetName val="Trulicity"/>
      <sheetName val="orforglipron"/>
      <sheetName val="retatrutide"/>
      <sheetName val="brenipatide"/>
      <sheetName val="mazdutide"/>
      <sheetName val="ixo-vec"/>
      <sheetName val="lepodisiran"/>
      <sheetName val="sofetabart"/>
      <sheetName val="Omvoh"/>
      <sheetName val="Kisunla"/>
      <sheetName val="eloralintide"/>
      <sheetName val="insulin efsitora"/>
      <sheetName val="imlunestrant"/>
      <sheetName val="Ebglyss"/>
      <sheetName val="Jayprica"/>
      <sheetName val="Verzenio"/>
      <sheetName val="muvalaplin"/>
      <sheetName val="Alimta"/>
      <sheetName val="Cymbalta"/>
      <sheetName val="Jardiance"/>
      <sheetName val="Forteo"/>
      <sheetName val="Retevmo"/>
      <sheetName val="Olumiant"/>
      <sheetName val="Strattera"/>
      <sheetName val="Cialis"/>
      <sheetName val="Evista"/>
      <sheetName val="Gemzar"/>
      <sheetName val="Zyprexa"/>
      <sheetName val="remternetug"/>
      <sheetName val="Exenatide"/>
      <sheetName val="Effient"/>
      <sheetName val="Enzastaurin"/>
      <sheetName val="Arzoxifene"/>
      <sheetName val="LY2062430"/>
      <sheetName val="LY2140023"/>
    </sheetNames>
    <sheetDataSet>
      <sheetData sheetId="0" refreshError="1"/>
      <sheetData sheetId="1" refreshError="1"/>
      <sheetData sheetId="2" refreshError="1"/>
      <sheetData sheetId="3">
        <row r="3">
          <cell r="J3">
            <v>894</v>
          </cell>
        </row>
        <row r="5">
          <cell r="J5">
            <v>12806</v>
          </cell>
        </row>
        <row r="6">
          <cell r="J6">
            <v>54908</v>
          </cell>
        </row>
      </sheetData>
      <sheetData sheetId="4">
        <row r="98">
          <cell r="GL98">
            <v>0.02</v>
          </cell>
        </row>
        <row r="99">
          <cell r="GL99">
            <v>0</v>
          </cell>
        </row>
        <row r="100">
          <cell r="GL100">
            <v>7.0000000000000007E-2</v>
          </cell>
        </row>
        <row r="102">
          <cell r="GL102">
            <v>1227.0561769040903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"/>
      <sheetName val="Markets"/>
      <sheetName val="Debt"/>
      <sheetName val="IMS"/>
      <sheetName val="IP"/>
      <sheetName val="Master Pipeline"/>
      <sheetName val="Main"/>
      <sheetName val="Model"/>
      <sheetName val="Stelara"/>
      <sheetName val="Remicade"/>
      <sheetName val="Imbruvica"/>
      <sheetName val="Darzalex"/>
      <sheetName val="Carvykti"/>
      <sheetName val="Talvey"/>
      <sheetName val="Tremfya"/>
      <sheetName val="Xarelto"/>
      <sheetName val="Tecvayli"/>
      <sheetName val="Inlexzo"/>
      <sheetName val="icotrokinra"/>
      <sheetName val="Ponvory"/>
      <sheetName val="pasritamig"/>
      <sheetName val="nipocalimab"/>
      <sheetName val="Invega"/>
      <sheetName val="Sustenna"/>
      <sheetName val="Simponi"/>
      <sheetName val="Consta"/>
      <sheetName val="Procrit"/>
      <sheetName val="Velcade"/>
      <sheetName val="Topamax"/>
      <sheetName val="Prezista"/>
      <sheetName val="Rybrevant"/>
      <sheetName val="Intelence"/>
      <sheetName val="Concerta"/>
      <sheetName val="Contraceptives"/>
      <sheetName val="riplivirine"/>
      <sheetName val="canagliflozin"/>
      <sheetName val="abiraterone"/>
      <sheetName val="Consumer"/>
      <sheetName val="telaprevir"/>
      <sheetName val="Consumer Model"/>
      <sheetName val="MD&amp;D"/>
      <sheetName val="DePuy"/>
      <sheetName val="DePuy Model"/>
      <sheetName val="LifeScan"/>
      <sheetName val="Vision"/>
      <sheetName val="Cardiovascular"/>
      <sheetName val="EndoSurgery"/>
      <sheetName val="Ethicon"/>
      <sheetName val="Ultram"/>
      <sheetName val="Acquisitions"/>
      <sheetName val="Levaquin"/>
      <sheetName val="Aciphex"/>
      <sheetName val="Doripenem"/>
      <sheetName val="Tapentadol"/>
      <sheetName val="Comfyde"/>
      <sheetName val="Natrecor"/>
      <sheetName val="Diagnostics"/>
      <sheetName val="Risperdal"/>
      <sheetName val="Durage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L3">
            <v>2408</v>
          </cell>
        </row>
        <row r="5">
          <cell r="L5">
            <v>20758</v>
          </cell>
        </row>
        <row r="6">
          <cell r="L6">
            <v>49036</v>
          </cell>
        </row>
      </sheetData>
      <sheetData sheetId="7">
        <row r="78">
          <cell r="FV78">
            <v>0.02</v>
          </cell>
        </row>
        <row r="85">
          <cell r="FV85">
            <v>175.06971327330956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kyrizi"/>
      <sheetName val="Imbruvica"/>
      <sheetName val="Emrelis"/>
      <sheetName val="ABBV-400"/>
      <sheetName val="Humira"/>
      <sheetName val="Rinvoq"/>
      <sheetName val="Botox"/>
      <sheetName val="Elahere"/>
      <sheetName val="Qulipta"/>
      <sheetName val="emraclidine"/>
      <sheetName val="Epkinly"/>
      <sheetName val="Vyalev"/>
      <sheetName val="Venclexta"/>
      <sheetName val="tavapadon"/>
    </sheetNames>
    <sheetDataSet>
      <sheetData sheetId="0"/>
      <sheetData sheetId="1">
        <row r="3">
          <cell r="K3">
            <v>1771</v>
          </cell>
        </row>
        <row r="5">
          <cell r="K5">
            <v>6835</v>
          </cell>
        </row>
        <row r="6">
          <cell r="K6">
            <v>70822</v>
          </cell>
        </row>
      </sheetData>
      <sheetData sheetId="2">
        <row r="75">
          <cell r="DX75">
            <v>0.06</v>
          </cell>
        </row>
        <row r="76">
          <cell r="DX76">
            <v>-0.01</v>
          </cell>
        </row>
        <row r="77">
          <cell r="DX77">
            <v>0</v>
          </cell>
        </row>
        <row r="79">
          <cell r="DX79">
            <v>224.94848290027019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Pipeline"/>
      <sheetName val="Main"/>
      <sheetName val="Model"/>
      <sheetName val="Keytruda"/>
      <sheetName val="Winrevair"/>
      <sheetName val="Welireg"/>
      <sheetName val="Gardasil"/>
      <sheetName val="Lenvima"/>
      <sheetName val="Lynparza"/>
      <sheetName val="Padcev"/>
      <sheetName val="Rotateq"/>
      <sheetName val="V940"/>
      <sheetName val="0482"/>
      <sheetName val="Zostavax"/>
      <sheetName val="Vytorin"/>
      <sheetName val="Singulair"/>
      <sheetName val="Januvia"/>
      <sheetName val="odanacatib"/>
      <sheetName val="524"/>
      <sheetName val="517"/>
      <sheetName val="Isentress"/>
      <sheetName val="rolofylline"/>
      <sheetName val="taranabant"/>
      <sheetName val="telcagepant"/>
      <sheetName val="457"/>
      <sheetName val="vorapaxar"/>
      <sheetName val="Crixivan"/>
      <sheetName val="Fosamax"/>
      <sheetName val="Arcoxia"/>
      <sheetName val="Zolinza"/>
    </sheetNames>
    <sheetDataSet>
      <sheetData sheetId="0"/>
      <sheetData sheetId="1">
        <row r="3">
          <cell r="J3">
            <v>2469.824415</v>
          </cell>
        </row>
        <row r="5">
          <cell r="J5">
            <v>8363</v>
          </cell>
        </row>
        <row r="6">
          <cell r="J6">
            <v>53906</v>
          </cell>
        </row>
      </sheetData>
      <sheetData sheetId="2">
        <row r="111">
          <cell r="EQ111">
            <v>0.01</v>
          </cell>
        </row>
        <row r="112">
          <cell r="EQ112">
            <v>-0.01</v>
          </cell>
        </row>
        <row r="113">
          <cell r="EQ113">
            <v>7.0000000000000007E-2</v>
          </cell>
        </row>
        <row r="115">
          <cell r="EQ115">
            <v>82.70945144197718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S Dollars"/>
      <sheetName val="Sandoz"/>
      <sheetName val="IMS Alpha"/>
      <sheetName val="Master"/>
      <sheetName val="Main"/>
      <sheetName val="Model"/>
      <sheetName val="Cosentyx"/>
      <sheetName val="Scemblix"/>
      <sheetName val="Piqray"/>
      <sheetName val="Entresto"/>
      <sheetName val="Lutathera"/>
      <sheetName val="Kymriah"/>
      <sheetName val="Pluvicto"/>
      <sheetName val="Lucentis"/>
      <sheetName val="Leqvio"/>
      <sheetName val="Gilenya"/>
      <sheetName val="Exjade"/>
      <sheetName val="Sandostatin"/>
      <sheetName val="Gleevec"/>
      <sheetName val="Tekturna"/>
      <sheetName val="Galvus"/>
      <sheetName val="Tasigna"/>
      <sheetName val="Xolair"/>
      <sheetName val="Zometa"/>
      <sheetName val="Femara"/>
      <sheetName val="indacaterol"/>
      <sheetName val="Focalin"/>
      <sheetName val="Aclasta"/>
      <sheetName val="Exforge"/>
      <sheetName val="Lotrel"/>
      <sheetName val="Afinitor"/>
      <sheetName val="Ilaris"/>
      <sheetName val="Consumer"/>
      <sheetName val="Vaccines"/>
      <sheetName val="Menveo"/>
      <sheetName val="Diovan"/>
    </sheetNames>
    <sheetDataSet>
      <sheetData sheetId="0"/>
      <sheetData sheetId="1"/>
      <sheetData sheetId="2"/>
      <sheetData sheetId="3"/>
      <sheetData sheetId="4">
        <row r="4">
          <cell r="K4">
            <v>1914</v>
          </cell>
        </row>
        <row r="6">
          <cell r="K6">
            <v>0</v>
          </cell>
        </row>
        <row r="7">
          <cell r="K7">
            <v>39400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agement and Structure"/>
      <sheetName val="Debt"/>
      <sheetName val="Master"/>
      <sheetName val="Main"/>
      <sheetName val="Model"/>
      <sheetName val="Vabysmo"/>
      <sheetName val="Tecentriq"/>
      <sheetName val="Phesgo"/>
      <sheetName val="Diagnostics"/>
      <sheetName val="Elevidys"/>
      <sheetName val="Evrysdi"/>
      <sheetName val="MabThera"/>
      <sheetName val="Hemlibra"/>
      <sheetName val="Avastin"/>
      <sheetName val="Avastin Model"/>
      <sheetName val="Polivy"/>
      <sheetName val="Herceptin"/>
      <sheetName val="Pegasys"/>
      <sheetName val="Xeloda"/>
      <sheetName val="tiragolumab"/>
      <sheetName val="Actemra"/>
      <sheetName val="Lucentis"/>
      <sheetName val="Perjeta"/>
      <sheetName val="Ocrevus"/>
      <sheetName val="Kadcyla"/>
      <sheetName val="Mircera"/>
      <sheetName val="Tarceva"/>
      <sheetName val="Failures"/>
      <sheetName val="dalcetrapib"/>
      <sheetName val="aleglitazar"/>
      <sheetName val="R1626"/>
      <sheetName val="taspoglutide"/>
    </sheetNames>
    <sheetDataSet>
      <sheetData sheetId="0"/>
      <sheetData sheetId="1"/>
      <sheetData sheetId="2"/>
      <sheetData sheetId="3">
        <row r="3">
          <cell r="J3">
            <v>796</v>
          </cell>
        </row>
        <row r="5">
          <cell r="J5">
            <v>0</v>
          </cell>
        </row>
        <row r="6">
          <cell r="J6">
            <v>16160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Ultomiris"/>
      <sheetName val="Saphnelo"/>
      <sheetName val="Tagrisso"/>
      <sheetName val="Strensiq"/>
      <sheetName val="Imfinzi"/>
      <sheetName val="gefurulimab"/>
      <sheetName val="Imjudo"/>
      <sheetName val="Tezspire"/>
      <sheetName val="Breztri"/>
      <sheetName val="Truqap"/>
      <sheetName val="Beyfortus"/>
      <sheetName val="Calquence"/>
      <sheetName val="Soliris"/>
      <sheetName val="Enhertu"/>
      <sheetName val="Fasenra"/>
      <sheetName val="Farxiga"/>
      <sheetName val="Lynparza"/>
      <sheetName val="Symbicort"/>
      <sheetName val="Koselugo"/>
      <sheetName val="Wainua"/>
      <sheetName val="Beyonttra"/>
      <sheetName val="Nexium"/>
      <sheetName val="Seroquel"/>
      <sheetName val="Crestor"/>
      <sheetName val="Brilinta"/>
      <sheetName val="datopotamab"/>
      <sheetName val="camizestrant"/>
      <sheetName val="eneboparatide"/>
      <sheetName val="0780"/>
      <sheetName val="2171"/>
      <sheetName val="Iressa"/>
      <sheetName val="Zactima"/>
      <sheetName val="5004"/>
    </sheetNames>
    <sheetDataSet>
      <sheetData sheetId="0"/>
      <sheetData sheetId="1">
        <row r="3">
          <cell r="K3">
            <v>1561</v>
          </cell>
        </row>
        <row r="5">
          <cell r="K5">
            <v>0</v>
          </cell>
        </row>
        <row r="6">
          <cell r="K6">
            <v>25944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Repatha"/>
      <sheetName val="Imdelltra"/>
      <sheetName val="Krystexxa"/>
      <sheetName val="Blincyto"/>
      <sheetName val="Otezla"/>
      <sheetName val="Tezspire"/>
      <sheetName val="Tepezza"/>
      <sheetName val="Tavneos"/>
      <sheetName val="Uplizna"/>
      <sheetName val="Enbrel"/>
      <sheetName val="Lumakras"/>
      <sheetName val="Neulasta"/>
      <sheetName val="olpasiran"/>
      <sheetName val="xaluritamig"/>
      <sheetName val="bemarituzumab"/>
      <sheetName val="maridebart cafraglutide"/>
      <sheetName val="rocatinlimab"/>
      <sheetName val="Neupogen"/>
      <sheetName val="Epogen"/>
      <sheetName val="EPO safety"/>
      <sheetName val="Aranesp"/>
      <sheetName val="G-CSF"/>
      <sheetName val="Sensipar"/>
      <sheetName val="Nplate"/>
      <sheetName val="Vectibix"/>
      <sheetName val="Denosumab"/>
      <sheetName val="Denosumab trials"/>
      <sheetName val="Kineret"/>
      <sheetName val="193"/>
      <sheetName val="706"/>
      <sheetName val="108"/>
      <sheetName val="114"/>
      <sheetName val="223"/>
      <sheetName val="386"/>
      <sheetName val="479"/>
      <sheetName val="102"/>
      <sheetName val="655"/>
      <sheetName val="785"/>
      <sheetName val="811"/>
      <sheetName val="208"/>
      <sheetName val="714"/>
      <sheetName val="Failures"/>
      <sheetName val="Kepivance"/>
    </sheetNames>
    <sheetDataSet>
      <sheetData sheetId="0"/>
      <sheetData sheetId="1">
        <row r="3">
          <cell r="J3">
            <v>544</v>
          </cell>
        </row>
        <row r="5">
          <cell r="J5">
            <v>12000</v>
          </cell>
        </row>
        <row r="6">
          <cell r="J6">
            <v>57300</v>
          </cell>
        </row>
      </sheetData>
      <sheetData sheetId="2">
        <row r="56">
          <cell r="EU56">
            <v>0.01</v>
          </cell>
        </row>
        <row r="57">
          <cell r="EU57">
            <v>-0.02</v>
          </cell>
        </row>
        <row r="58">
          <cell r="EU58">
            <v>0.08</v>
          </cell>
        </row>
        <row r="60">
          <cell r="EU60">
            <v>384.3778495798079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Ozempic"/>
      <sheetName val="semaglutide IP"/>
      <sheetName val="Wegovy"/>
      <sheetName val="Rybelsus"/>
      <sheetName val="monlunabant"/>
      <sheetName val="Type 2 Diabetes"/>
      <sheetName val="Victoza"/>
      <sheetName val="NovoLog"/>
      <sheetName val="Levemir"/>
      <sheetName val="Sogroya"/>
      <sheetName val="Mim8"/>
      <sheetName val="insulin icodec"/>
      <sheetName val="Esperoct"/>
      <sheetName val="NNC6022"/>
      <sheetName val="ziltivekimab"/>
      <sheetName val="amycretin"/>
      <sheetName val="GLP-1-GIP"/>
      <sheetName val="cagrilintide"/>
      <sheetName val="conicizumab"/>
      <sheetName val="CDR132L"/>
    </sheetNames>
    <sheetDataSet>
      <sheetData sheetId="0"/>
      <sheetData sheetId="1">
        <row r="3">
          <cell r="J3">
            <v>4448.7</v>
          </cell>
        </row>
        <row r="5">
          <cell r="J5">
            <v>0</v>
          </cell>
        </row>
        <row r="6">
          <cell r="J6">
            <v>115919</v>
          </cell>
        </row>
      </sheetData>
      <sheetData sheetId="2">
        <row r="60">
          <cell r="DQ60">
            <v>-0.01</v>
          </cell>
        </row>
        <row r="61">
          <cell r="DQ61">
            <v>-0.01</v>
          </cell>
        </row>
        <row r="62">
          <cell r="DQ62">
            <v>0.08</v>
          </cell>
        </row>
        <row r="64">
          <cell r="DQ64">
            <v>325.56685111929261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LA"/>
      <sheetName val="Failures"/>
      <sheetName val="Master Pipeline"/>
      <sheetName val="Approved Products"/>
      <sheetName val="Management"/>
      <sheetName val="Main"/>
      <sheetName val="Model"/>
      <sheetName val="Comirnaty"/>
      <sheetName val="Ibrance"/>
      <sheetName val="Enbrel"/>
      <sheetName val="Paxlovid"/>
      <sheetName val="Vyndaqel"/>
      <sheetName val="Eliquis"/>
      <sheetName val="Prevnar"/>
      <sheetName val="Inlyta"/>
      <sheetName val="Xeljanz"/>
      <sheetName val="Chantix"/>
      <sheetName val="Chantix Model"/>
      <sheetName val="Lorbrena"/>
      <sheetName val="Xalkori"/>
      <sheetName val="Myfembree"/>
      <sheetName val="etrasimod"/>
      <sheetName val="elranatamab"/>
      <sheetName val="giroctocogene"/>
      <sheetName val="PF-06425090"/>
      <sheetName val="VLA15"/>
      <sheetName val="Sutent"/>
      <sheetName val="Diflucan"/>
      <sheetName val="Cardura"/>
      <sheetName val="Vfend"/>
      <sheetName val="Zyvox"/>
      <sheetName val="Selzentry"/>
      <sheetName val="PF868554"/>
      <sheetName val="Aricept"/>
      <sheetName val="Zithromax"/>
      <sheetName val="fordadistrogene"/>
      <sheetName val="Genotropin"/>
      <sheetName val="Accupril"/>
      <sheetName val="Fablyn"/>
      <sheetName val="tanezumab"/>
      <sheetName val="Acquisitions"/>
      <sheetName val="IP"/>
    </sheetNames>
    <sheetDataSet>
      <sheetData sheetId="0"/>
      <sheetData sheetId="1"/>
      <sheetData sheetId="2"/>
      <sheetData sheetId="3"/>
      <sheetData sheetId="4"/>
      <sheetData sheetId="5">
        <row r="3">
          <cell r="K3">
            <v>5699.4441690000003</v>
          </cell>
        </row>
        <row r="5">
          <cell r="K5">
            <v>14701</v>
          </cell>
        </row>
        <row r="6">
          <cell r="K6">
            <v>64455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lenacapavir"/>
      <sheetName val="Biktarvy"/>
      <sheetName val="Descovy"/>
      <sheetName val="Genvoya"/>
      <sheetName val="Veklury"/>
      <sheetName val="Stribild"/>
      <sheetName val="Trodelvy"/>
      <sheetName val="Truvada"/>
      <sheetName val="Viread"/>
      <sheetName val="Ranexa"/>
      <sheetName val="Atripla"/>
      <sheetName val="Harvoni"/>
      <sheetName val="IMS Monthly"/>
      <sheetName val="IMS"/>
      <sheetName val="Rx"/>
      <sheetName val="HBV"/>
      <sheetName val="darusentan"/>
      <sheetName val="Letairis"/>
      <sheetName val="Hepsera"/>
      <sheetName val="HIV"/>
      <sheetName val="GS 9137"/>
      <sheetName val="GS 9132"/>
      <sheetName val="GS9190"/>
      <sheetName val="sofosbuvir"/>
      <sheetName val="idelasilib"/>
      <sheetName val="GS 9451"/>
      <sheetName val="Cayston"/>
      <sheetName val="Tamiflu"/>
    </sheetNames>
    <sheetDataSet>
      <sheetData sheetId="0"/>
      <sheetData sheetId="1">
        <row r="3">
          <cell r="J3">
            <v>1254</v>
          </cell>
        </row>
        <row r="5">
          <cell r="J5">
            <v>8626</v>
          </cell>
        </row>
        <row r="6">
          <cell r="J6">
            <v>22174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Cobenfy"/>
      <sheetName val="Opdivo"/>
      <sheetName val="Orencia"/>
      <sheetName val="Yervoy"/>
      <sheetName val="Eliquis"/>
      <sheetName val="Camzyos"/>
      <sheetName val="Empliciti"/>
      <sheetName val="Avapro"/>
      <sheetName val="Plavix"/>
      <sheetName val="Abilify"/>
      <sheetName val="Reyataz"/>
      <sheetName val="Sprycel"/>
      <sheetName val="Erbitux"/>
      <sheetName val="Onglyza"/>
      <sheetName val="Sustiva"/>
      <sheetName val="dapagliflozin"/>
      <sheetName val="ixabepilone"/>
      <sheetName val="790052"/>
      <sheetName val="Discontinuations"/>
      <sheetName val="brivanib"/>
    </sheetNames>
    <sheetDataSet>
      <sheetData sheetId="0"/>
      <sheetData sheetId="1">
        <row r="3">
          <cell r="K3">
            <v>2042.0712470000001</v>
          </cell>
        </row>
        <row r="5">
          <cell r="K5">
            <v>10852</v>
          </cell>
        </row>
        <row r="6">
          <cell r="K6">
            <v>44460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hingrix"/>
      <sheetName val="dolutegravir"/>
      <sheetName val="Trelegy"/>
      <sheetName val="Advair"/>
      <sheetName val="Zejula"/>
      <sheetName val="Relovair"/>
      <sheetName val="Valtrex"/>
      <sheetName val="Serevent"/>
      <sheetName val="Avodart"/>
      <sheetName val="Flovent"/>
      <sheetName val="Consumer"/>
      <sheetName val="Tykerb"/>
      <sheetName val="Imitrex"/>
      <sheetName val="Lamictal"/>
      <sheetName val="Trexima"/>
      <sheetName val="Combivir"/>
      <sheetName val="Votrient"/>
      <sheetName val="Allermist"/>
      <sheetName val="Avandaryl"/>
      <sheetName val="Trizivir"/>
      <sheetName val="Lexiva"/>
      <sheetName val="Wellbutrin"/>
      <sheetName val="Paxil"/>
      <sheetName val="Requip"/>
      <sheetName val="Flonase"/>
      <sheetName val="Vestipitant"/>
      <sheetName val="MAGE"/>
      <sheetName val="Arzerra"/>
      <sheetName val="eltrombopag"/>
      <sheetName val="Cervarix"/>
      <sheetName val="Horizant"/>
      <sheetName val="716155"/>
      <sheetName val="699"/>
      <sheetName val="Potiga"/>
      <sheetName val="GSK786"/>
      <sheetName val="GSK436"/>
      <sheetName val="GSK212"/>
      <sheetName val="GSK968"/>
      <sheetName val="Relenza"/>
      <sheetName val="IPX066"/>
      <sheetName val="Benlysta"/>
      <sheetName val="Amigal"/>
      <sheetName val="Arixtra"/>
      <sheetName val="Pandemrix"/>
      <sheetName val="MenHibrix"/>
      <sheetName val="Rotarix"/>
      <sheetName val="Synflorix"/>
      <sheetName val="GSK572"/>
      <sheetName val="mepolizumab"/>
      <sheetName val="denosumab"/>
      <sheetName val="Syncria"/>
      <sheetName val="Avandia"/>
    </sheetNames>
    <sheetDataSet>
      <sheetData sheetId="0"/>
      <sheetData sheetId="1">
        <row r="4">
          <cell r="J4">
            <v>4023</v>
          </cell>
        </row>
        <row r="6">
          <cell r="J6">
            <v>0</v>
          </cell>
        </row>
        <row r="7">
          <cell r="J7">
            <v>15613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Dupixent"/>
      <sheetName val="Lovenox"/>
      <sheetName val="Lantus"/>
      <sheetName val="Aubagio"/>
      <sheetName val="Plavix"/>
      <sheetName val="Multaq"/>
      <sheetName val="idraparinux"/>
      <sheetName val="SR 58611"/>
      <sheetName val="Eplivanserin"/>
      <sheetName val="SSR 591813"/>
      <sheetName val="Xaliproden"/>
      <sheetName val="Alvocidib"/>
      <sheetName val="SR 121463"/>
      <sheetName val="BSI-201"/>
      <sheetName val="Zimulti"/>
      <sheetName val="Failures"/>
    </sheetNames>
    <sheetDataSet>
      <sheetData sheetId="0"/>
      <sheetData sheetId="1">
        <row r="5">
          <cell r="K5">
            <v>5544</v>
          </cell>
        </row>
        <row r="6">
          <cell r="K6">
            <v>18444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Main"/>
      <sheetName val="Model"/>
      <sheetName val="Lovenox"/>
      <sheetName val="Lantus"/>
      <sheetName val="Aubagio"/>
      <sheetName val="Plavix"/>
      <sheetName val="Multaq"/>
      <sheetName val="idraparinux"/>
      <sheetName val="SR 58611"/>
      <sheetName val="Eplivanserin"/>
      <sheetName val="SSR 591813"/>
      <sheetName val="Xaliproden"/>
      <sheetName val="Alvocidib"/>
      <sheetName val="SR 121463"/>
      <sheetName val="BSI-201"/>
      <sheetName val="Zimulti"/>
      <sheetName val="Failures"/>
    </sheetNames>
    <sheetDataSet>
      <sheetData sheetId="0" refreshError="1"/>
      <sheetData sheetId="1" refreshError="1">
        <row r="3">
          <cell r="K3">
            <v>1251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Trikafta"/>
      <sheetName val="Orkambi"/>
      <sheetName val="Symdeko"/>
      <sheetName val="Kalydeco"/>
      <sheetName val="Casgevy"/>
      <sheetName val="VX-880"/>
      <sheetName val="povetacicept"/>
      <sheetName val="Alyftrek"/>
      <sheetName val="VX-548"/>
      <sheetName val="VX-522"/>
      <sheetName val="inaxaplin"/>
      <sheetName val="VX-634"/>
      <sheetName val="IP"/>
      <sheetName val="Compounds"/>
    </sheetNames>
    <sheetDataSet>
      <sheetData sheetId="0"/>
      <sheetData sheetId="1">
        <row r="3">
          <cell r="M3">
            <v>253.80500000000001</v>
          </cell>
        </row>
        <row r="5">
          <cell r="M5">
            <v>13000</v>
          </cell>
        </row>
        <row r="6">
          <cell r="M6">
            <v>0</v>
          </cell>
        </row>
      </sheetData>
      <sheetData sheetId="2">
        <row r="30">
          <cell r="BO30">
            <v>-0.05</v>
          </cell>
        </row>
        <row r="32">
          <cell r="BO32">
            <v>0.03</v>
          </cell>
        </row>
        <row r="34">
          <cell r="BO34">
            <v>586.57186985582075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</sheetNames>
    <sheetDataSet>
      <sheetData sheetId="0"/>
      <sheetData sheetId="1">
        <row r="3">
          <cell r="J3">
            <v>982.42</v>
          </cell>
        </row>
        <row r="5">
          <cell r="J5">
            <v>0</v>
          </cell>
        </row>
        <row r="6">
          <cell r="J6">
            <v>32518</v>
          </cell>
        </row>
      </sheetData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Entyvio"/>
      <sheetName val="Prevacid"/>
      <sheetName val="Lupron"/>
      <sheetName val="Dexilant"/>
      <sheetName val="alogliptin"/>
      <sheetName val="475"/>
      <sheetName val="Velcade"/>
      <sheetName val="Actos"/>
      <sheetName val="literature"/>
    </sheetNames>
    <sheetDataSet>
      <sheetData sheetId="0"/>
      <sheetData sheetId="1">
        <row r="4">
          <cell r="K4">
            <v>1575.062414</v>
          </cell>
        </row>
        <row r="6">
          <cell r="K6">
            <v>1076883</v>
          </cell>
        </row>
        <row r="7">
          <cell r="K7">
            <v>4881838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5">
          <cell r="J5">
            <v>0</v>
          </cell>
        </row>
        <row r="6">
          <cell r="J6">
            <v>8318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1679.057667</v>
          </cell>
        </row>
        <row r="5">
          <cell r="J5">
            <v>962573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upixent"/>
      <sheetName val="Eylea"/>
      <sheetName val="linvoseltamab"/>
      <sheetName val="odronextamab"/>
      <sheetName val="pozelimab"/>
      <sheetName val="mibavademab"/>
      <sheetName val="DB-OTO"/>
      <sheetName val="trevogrumab"/>
      <sheetName val="fianlimab"/>
      <sheetName val="garetosmab"/>
      <sheetName val="itepekimab"/>
      <sheetName val="REGN7508"/>
      <sheetName val="REGN9933"/>
      <sheetName val="Arcalyst"/>
      <sheetName val="Zaltrap"/>
      <sheetName val="VEGF Trap"/>
      <sheetName val="Praluent"/>
      <sheetName val="Libtayo"/>
      <sheetName val="Kevzara"/>
    </sheetNames>
    <sheetDataSet>
      <sheetData sheetId="0">
        <row r="3">
          <cell r="J3">
            <v>106</v>
          </cell>
        </row>
        <row r="5">
          <cell r="J5">
            <v>18539.7</v>
          </cell>
        </row>
        <row r="6">
          <cell r="J6">
            <v>1986.2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2399</v>
          </cell>
        </row>
        <row r="5">
          <cell r="J5">
            <v>360177.9</v>
          </cell>
        </row>
        <row r="6">
          <cell r="J6">
            <v>72533.2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1191</v>
          </cell>
        </row>
        <row r="5">
          <cell r="M5">
            <v>3655</v>
          </cell>
        </row>
        <row r="6">
          <cell r="M6">
            <v>16593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233.65531999999999</v>
          </cell>
        </row>
        <row r="5">
          <cell r="J5">
            <v>840</v>
          </cell>
        </row>
        <row r="6">
          <cell r="J6">
            <v>2716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yvgart"/>
    </sheetNames>
    <sheetDataSet>
      <sheetData sheetId="0">
        <row r="3">
          <cell r="K3">
            <v>64.409487999999996</v>
          </cell>
        </row>
        <row r="5">
          <cell r="K5">
            <v>5187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delvion"/>
    </sheetNames>
    <sheetDataSet>
      <sheetData sheetId="0">
        <row r="3">
          <cell r="J3">
            <v>483.57499999999999</v>
          </cell>
        </row>
        <row r="5">
          <cell r="J5">
            <v>1303</v>
          </cell>
        </row>
        <row r="6">
          <cell r="J6">
            <v>10421</v>
          </cell>
        </row>
      </sheetData>
      <sheetData sheetId="1"/>
      <sheetData sheetId="2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46.290951</v>
          </cell>
        </row>
        <row r="5">
          <cell r="M5">
            <v>1620</v>
          </cell>
        </row>
        <row r="6">
          <cell r="M6">
            <v>919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190</v>
          </cell>
        </row>
        <row r="5">
          <cell r="J5">
            <v>7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s"/>
    </sheetNames>
    <sheetDataSet>
      <sheetData sheetId="0">
        <row r="3">
          <cell r="L3">
            <v>575.83220400000005</v>
          </cell>
        </row>
        <row r="5">
          <cell r="L5">
            <v>1047.2619999999999</v>
          </cell>
        </row>
        <row r="6">
          <cell r="L6">
            <v>8593.9229999999989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araxonrasib"/>
      <sheetName val="Model"/>
    </sheetNames>
    <sheetDataSet>
      <sheetData sheetId="0">
        <row r="3">
          <cell r="J3">
            <v>212.596462</v>
          </cell>
        </row>
        <row r="5">
          <cell r="J5">
            <v>1947.6510000000001</v>
          </cell>
        </row>
        <row r="6">
          <cell r="J6">
            <v>0</v>
          </cell>
        </row>
      </sheetData>
      <sheetData sheetId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Leqembi"/>
      <sheetName val="dapirolizumab"/>
    </sheetNames>
    <sheetDataSet>
      <sheetData sheetId="0">
        <row r="3">
          <cell r="J3">
            <v>147.753998</v>
          </cell>
        </row>
        <row r="5">
          <cell r="J5">
            <v>1285</v>
          </cell>
        </row>
        <row r="6">
          <cell r="J6">
            <v>8090.3</v>
          </cell>
        </row>
      </sheetData>
      <sheetData sheetId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iagra"/>
      <sheetName val="Norvasc"/>
      <sheetName val="Lyrica"/>
      <sheetName val="Lipitor"/>
      <sheetName val="Geodon"/>
      <sheetName val="Detrol"/>
    </sheetNames>
    <sheetDataSet>
      <sheetData sheetId="0">
        <row r="3">
          <cell r="M3">
            <v>1164.5526540000001</v>
          </cell>
        </row>
        <row r="5">
          <cell r="M5">
            <v>1804.2</v>
          </cell>
        </row>
        <row r="6">
          <cell r="M6">
            <v>14344.6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emsima"/>
    </sheetNames>
    <sheetDataSet>
      <sheetData sheetId="0">
        <row r="3">
          <cell r="J3">
            <v>230.96096900000001</v>
          </cell>
        </row>
        <row r="5">
          <cell r="J5">
            <v>1199000</v>
          </cell>
        </row>
        <row r="6">
          <cell r="J6">
            <v>3826000</v>
          </cell>
        </row>
      </sheetData>
      <sheetData sheetId="1"/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111.1740263076923</v>
          </cell>
        </row>
        <row r="5">
          <cell r="L5">
            <v>4791.6760000000004</v>
          </cell>
        </row>
        <row r="6">
          <cell r="L6">
            <v>1078.655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527.08410900000001</v>
          </cell>
        </row>
        <row r="5">
          <cell r="L5">
            <v>1117063</v>
          </cell>
        </row>
        <row r="6">
          <cell r="L6">
            <v>177028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438.4</v>
          </cell>
        </row>
        <row r="5">
          <cell r="J5">
            <v>0</v>
          </cell>
        </row>
        <row r="6">
          <cell r="J6">
            <v>3548</v>
          </cell>
        </row>
      </sheetData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1894.3505290000001</v>
          </cell>
        </row>
        <row r="5">
          <cell r="M5">
            <v>753.89599999999996</v>
          </cell>
        </row>
        <row r="6">
          <cell r="M6">
            <v>353.33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1791.105329</v>
          </cell>
        </row>
        <row r="5">
          <cell r="K5">
            <v>449770</v>
          </cell>
        </row>
        <row r="6">
          <cell r="K6">
            <v>677376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LN-HSD"/>
      <sheetName val="Amvuttra"/>
      <sheetName val="Onpattro"/>
      <sheetName val="Oxlumo"/>
    </sheetNames>
    <sheetDataSet>
      <sheetData sheetId="0">
        <row r="3">
          <cell r="L3">
            <v>133.512573</v>
          </cell>
        </row>
        <row r="5">
          <cell r="L5">
            <v>3009.223</v>
          </cell>
        </row>
        <row r="6">
          <cell r="L6">
            <v>1009.372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Vtama"/>
      <sheetName val="brepocitinib"/>
      <sheetName val="batoclimab"/>
      <sheetName val="IP"/>
    </sheetNames>
    <sheetDataSet>
      <sheetData sheetId="0"/>
      <sheetData sheetId="1">
        <row r="3">
          <cell r="K3">
            <v>713.54945799999996</v>
          </cell>
        </row>
        <row r="5">
          <cell r="K5">
            <v>5436.5479999999998</v>
          </cell>
        </row>
        <row r="6">
          <cell r="K6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64.243333000000007</v>
          </cell>
        </row>
        <row r="7">
          <cell r="K7">
            <v>1561</v>
          </cell>
        </row>
        <row r="8">
          <cell r="K8">
            <v>5208</v>
          </cell>
        </row>
      </sheetData>
      <sheetData sheetId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516.46900800000003</v>
          </cell>
        </row>
        <row r="5">
          <cell r="K5">
            <v>2017</v>
          </cell>
        </row>
        <row r="6">
          <cell r="K6">
            <v>9463</v>
          </cell>
        </row>
      </sheetData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rinsupri"/>
    </sheetNames>
    <sheetDataSet>
      <sheetData sheetId="0">
        <row r="3">
          <cell r="L3">
            <v>216.75245100000001</v>
          </cell>
        </row>
        <row r="5">
          <cell r="L5">
            <v>1223.5140000000001</v>
          </cell>
        </row>
        <row r="6">
          <cell r="L6">
            <v>542.21500000000003</v>
          </cell>
        </row>
      </sheetData>
      <sheetData sheetId="1"/>
      <sheetData sheetId="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Jakafi"/>
      <sheetName val="NEJM letter"/>
      <sheetName val="Opzelura"/>
      <sheetName val="Olumiant"/>
      <sheetName val="Minjuvi"/>
      <sheetName val="Tabrecta"/>
      <sheetName val="Pemazyre"/>
      <sheetName val="retifanlimab"/>
      <sheetName val="parsaclisib"/>
      <sheetName val="INCB57643"/>
      <sheetName val="CK0804"/>
      <sheetName val="INCB00928"/>
      <sheetName val="axatilimab"/>
      <sheetName val="INCB7839"/>
      <sheetName val="INCB24360"/>
      <sheetName val="INCB 7839"/>
      <sheetName val="INCB 8696"/>
      <sheetName val="Dexelvucitabine"/>
      <sheetName val="INCB 13739"/>
      <sheetName val="INCB 15050"/>
      <sheetName val="Old Model"/>
      <sheetName val="JAK field"/>
    </sheetNames>
    <sheetDataSet>
      <sheetData sheetId="0">
        <row r="3">
          <cell r="K3">
            <v>202.697746</v>
          </cell>
        </row>
        <row r="5">
          <cell r="K5">
            <v>4640.1270000000004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emodulin"/>
      <sheetName val="Tyvaso"/>
      <sheetName val="Oral"/>
      <sheetName val="Adcirca"/>
    </sheetNames>
    <sheetDataSet>
      <sheetData sheetId="0">
        <row r="3">
          <cell r="K3">
            <v>42.446733000000002</v>
          </cell>
        </row>
        <row r="5">
          <cell r="K5">
            <v>3471.1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pidiolex"/>
    </sheetNames>
    <sheetDataSet>
      <sheetData sheetId="0">
        <row r="3">
          <cell r="K3">
            <v>61.9</v>
          </cell>
        </row>
        <row r="5">
          <cell r="K5">
            <v>2900</v>
          </cell>
        </row>
        <row r="6">
          <cell r="K6">
            <v>5400</v>
          </cell>
        </row>
      </sheetData>
      <sheetData sheetId="1">
        <row r="27">
          <cell r="AU27">
            <v>36.378823801023692</v>
          </cell>
        </row>
        <row r="28">
          <cell r="AU28">
            <v>65.822500000000005</v>
          </cell>
        </row>
      </sheetData>
      <sheetData sheetId="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Main"/>
      <sheetName val="Model"/>
      <sheetName val="Spikevax"/>
      <sheetName val="4157"/>
      <sheetName val="1647"/>
    </sheetNames>
    <sheetDataSet>
      <sheetData sheetId="0"/>
      <sheetData sheetId="1">
        <row r="3">
          <cell r="K3">
            <v>396.78625899999997</v>
          </cell>
        </row>
        <row r="5">
          <cell r="K5">
            <v>6506</v>
          </cell>
        </row>
        <row r="6">
          <cell r="K6">
            <v>590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687.55490800000007</v>
          </cell>
        </row>
        <row r="5">
          <cell r="L5">
            <v>1470.2719999999999</v>
          </cell>
        </row>
        <row r="6">
          <cell r="L6">
            <v>10166.731</v>
          </cell>
        </row>
      </sheetData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bometyx"/>
    </sheetNames>
    <sheetDataSet>
      <sheetData sheetId="0">
        <row r="3">
          <cell r="M3">
            <v>272.70828</v>
          </cell>
        </row>
        <row r="5">
          <cell r="M5">
            <v>1426.3509999999999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M3">
            <v>206.29916</v>
          </cell>
        </row>
        <row r="5">
          <cell r="M5">
            <v>0</v>
          </cell>
        </row>
        <row r="6">
          <cell r="M6">
            <v>1469.4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257.473477</v>
          </cell>
        </row>
        <row r="5">
          <cell r="L5">
            <v>675</v>
          </cell>
        </row>
        <row r="6">
          <cell r="L6">
            <v>8880</v>
          </cell>
        </row>
      </sheetData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118.613</v>
          </cell>
        </row>
        <row r="5">
          <cell r="M5">
            <v>318.62200000000001</v>
          </cell>
        </row>
        <row r="6">
          <cell r="M6">
            <v>2144.6390000000001</v>
          </cell>
        </row>
      </sheetData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ngrezza"/>
      <sheetName val="osavampator"/>
      <sheetName val="crinecerfont"/>
      <sheetName val="1117568"/>
    </sheetNames>
    <sheetDataSet>
      <sheetData sheetId="0">
        <row r="3">
          <cell r="L3">
            <v>103</v>
          </cell>
        </row>
        <row r="5">
          <cell r="L5">
            <v>1940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141.13399999999999</v>
          </cell>
        </row>
        <row r="5">
          <cell r="L5">
            <v>152.5</v>
          </cell>
        </row>
        <row r="6">
          <cell r="L6">
            <v>263.7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oxzogo"/>
      <sheetName val="valrox"/>
      <sheetName val="Matrix"/>
    </sheetNames>
    <sheetDataSet>
      <sheetData sheetId="0">
        <row r="3">
          <cell r="L3">
            <v>196</v>
          </cell>
        </row>
        <row r="5">
          <cell r="L5">
            <v>1779</v>
          </cell>
        </row>
        <row r="6">
          <cell r="L6">
            <v>596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coramidis"/>
    </sheetNames>
    <sheetDataSet>
      <sheetData sheetId="0">
        <row r="3">
          <cell r="N3">
            <v>187.58600000000001</v>
          </cell>
        </row>
        <row r="5">
          <cell r="N5">
            <v>587.20000000000005</v>
          </cell>
        </row>
        <row r="6">
          <cell r="N6">
            <v>1717.5990000000002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ficamten"/>
    </sheetNames>
    <sheetDataSet>
      <sheetData sheetId="0">
        <row r="3">
          <cell r="K3">
            <v>132.08600000000001</v>
          </cell>
        </row>
        <row r="5">
          <cell r="K5">
            <v>1704.0029999999999</v>
          </cell>
        </row>
        <row r="6">
          <cell r="K6">
            <v>1147.087</v>
          </cell>
        </row>
      </sheetData>
      <sheetData sheetId="1"/>
      <sheetData sheetId="2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JNJ-3989"/>
      <sheetName val="fazirsiran"/>
      <sheetName val="plozasiran"/>
      <sheetName val="zodasiran"/>
      <sheetName val="RAGE"/>
      <sheetName val="olpasiran"/>
    </sheetNames>
    <sheetDataSet>
      <sheetData sheetId="0">
        <row r="3">
          <cell r="L3">
            <v>142.417</v>
          </cell>
        </row>
        <row r="5">
          <cell r="L5">
            <v>1784</v>
          </cell>
        </row>
        <row r="6">
          <cell r="L6">
            <v>681.94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83.814526000000001</v>
          </cell>
        </row>
        <row r="5">
          <cell r="L5">
            <v>0</v>
          </cell>
        </row>
        <row r="6">
          <cell r="L6">
            <v>-6.8</v>
          </cell>
        </row>
      </sheetData>
      <sheetData sheetId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ivonescimab"/>
    </sheetNames>
    <sheetDataSet>
      <sheetData sheetId="0">
        <row r="3">
          <cell r="K3">
            <v>764.47988600000008</v>
          </cell>
        </row>
        <row r="5">
          <cell r="K5">
            <v>738.6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omirnaty"/>
      <sheetName val="BNT327"/>
    </sheetNames>
    <sheetDataSet>
      <sheetData sheetId="0">
        <row r="3">
          <cell r="K3">
            <v>239.73975200000001</v>
          </cell>
        </row>
        <row r="5">
          <cell r="K5">
            <v>18317.399999999998</v>
          </cell>
        </row>
        <row r="6">
          <cell r="K6">
            <v>250.60000000000002</v>
          </cell>
        </row>
      </sheetData>
      <sheetData sheetId="1"/>
      <sheetData sheetId="2"/>
      <sheetData sheetId="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Skytrofa"/>
    </sheetNames>
    <sheetDataSet>
      <sheetData sheetId="0">
        <row r="3">
          <cell r="K3">
            <v>62.376846</v>
          </cell>
        </row>
        <row r="5">
          <cell r="K5">
            <v>573</v>
          </cell>
        </row>
        <row r="6">
          <cell r="K6">
            <v>896.66399999999987</v>
          </cell>
        </row>
      </sheetData>
      <sheetData sheetId="1"/>
      <sheetData sheetId="2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69.430642000000006</v>
          </cell>
        </row>
        <row r="5">
          <cell r="K5">
            <v>873.44100000000003</v>
          </cell>
        </row>
        <row r="6">
          <cell r="K6">
            <v>563.18799999999999</v>
          </cell>
        </row>
      </sheetData>
      <sheetData sheetId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AX-31"/>
      <sheetName val="VAX-24"/>
      <sheetName val="Model"/>
    </sheetNames>
    <sheetDataSet>
      <sheetData sheetId="0">
        <row r="3">
          <cell r="L3">
            <v>144.397682</v>
          </cell>
        </row>
        <row r="5">
          <cell r="L5">
            <v>2741.1950000000002</v>
          </cell>
        </row>
        <row r="6">
          <cell r="L6">
            <v>0</v>
          </cell>
        </row>
      </sheetData>
      <sheetData sheetId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146.21109100000001</v>
          </cell>
        </row>
        <row r="5">
          <cell r="L5">
            <v>2078.6860000000001</v>
          </cell>
        </row>
        <row r="6">
          <cell r="L6">
            <v>1768.7780000000002</v>
          </cell>
        </row>
      </sheetData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533.87796600000001</v>
          </cell>
        </row>
        <row r="5">
          <cell r="L5">
            <v>365009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N3">
            <v>136.41541799999999</v>
          </cell>
        </row>
        <row r="5">
          <cell r="N5">
            <v>542.79999999999995</v>
          </cell>
        </row>
        <row r="6">
          <cell r="N6">
            <v>4057.6000000000004</v>
          </cell>
        </row>
      </sheetData>
      <sheetData sheetId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zdiffra"/>
      <sheetName val="Model"/>
    </sheetNames>
    <sheetDataSet>
      <sheetData sheetId="0">
        <row r="3">
          <cell r="M3">
            <v>21.712676999999999</v>
          </cell>
        </row>
        <row r="5">
          <cell r="M5">
            <v>1062.7939999999999</v>
          </cell>
        </row>
        <row r="6">
          <cell r="M6">
            <v>116.607</v>
          </cell>
        </row>
      </sheetData>
      <sheetData sheetId="1"/>
      <sheetData sheetId="2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obefazimod"/>
    </sheetNames>
    <sheetDataSet>
      <sheetData sheetId="0">
        <row r="3">
          <cell r="M3">
            <v>63.347836999999998</v>
          </cell>
        </row>
        <row r="5">
          <cell r="M5">
            <v>144</v>
          </cell>
        </row>
        <row r="6">
          <cell r="M6">
            <v>96.195000000000007</v>
          </cell>
        </row>
      </sheetData>
      <sheetData sheetId="1"/>
      <sheetData sheetId="2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Briumvi"/>
    </sheetNames>
    <sheetDataSet>
      <sheetData sheetId="0">
        <row r="3">
          <cell r="J3">
            <v>154.823137</v>
          </cell>
        </row>
        <row r="5">
          <cell r="J5">
            <v>218.19900000000001</v>
          </cell>
        </row>
        <row r="6">
          <cell r="J6">
            <v>102.53700000000001</v>
          </cell>
        </row>
      </sheetData>
      <sheetData sheetId="1"/>
      <sheetData sheetId="2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uvelity"/>
    </sheetNames>
    <sheetDataSet>
      <sheetData sheetId="0">
        <row r="3">
          <cell r="L3">
            <v>48.436107999999997</v>
          </cell>
        </row>
        <row r="5">
          <cell r="L5">
            <v>386.2</v>
          </cell>
        </row>
        <row r="6">
          <cell r="L6">
            <v>179.33</v>
          </cell>
        </row>
      </sheetData>
      <sheetData sheetId="1"/>
      <sheetData sheetId="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PG777"/>
    </sheetNames>
    <sheetDataSet>
      <sheetData sheetId="0">
        <row r="3">
          <cell r="L3">
            <v>59.596409000000001</v>
          </cell>
        </row>
        <row r="5">
          <cell r="L5">
            <v>621.18900000000008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ulixacaltamide"/>
    </sheetNames>
    <sheetDataSet>
      <sheetData sheetId="0">
        <row r="3">
          <cell r="L3">
            <v>27.9</v>
          </cell>
        </row>
        <row r="5">
          <cell r="L5">
            <v>1400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onsta"/>
      <sheetName val="Vivitrol"/>
      <sheetName val="nemvaleukin"/>
      <sheetName val="Byetta LAR"/>
      <sheetName val="Discontinued - ALKS27"/>
      <sheetName val="Jansenn Contract"/>
      <sheetName val="ALKS33"/>
    </sheetNames>
    <sheetDataSet>
      <sheetData sheetId="0">
        <row r="3">
          <cell r="L3">
            <v>164.668329</v>
          </cell>
        </row>
        <row r="5">
          <cell r="L5">
            <v>962.51900000000001</v>
          </cell>
        </row>
        <row r="6">
          <cell r="L6">
            <v>289.459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28.760548</v>
          </cell>
        </row>
        <row r="5">
          <cell r="K5">
            <v>694.2120000000001</v>
          </cell>
        </row>
        <row r="6">
          <cell r="K6">
            <v>0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rusfertide"/>
      <sheetName val="JNJ-2113"/>
    </sheetNames>
    <sheetDataSet>
      <sheetData sheetId="0">
        <row r="3">
          <cell r="L3">
            <v>65.087846999999996</v>
          </cell>
        </row>
        <row r="5">
          <cell r="L5">
            <v>620</v>
          </cell>
        </row>
        <row r="6">
          <cell r="L6">
            <v>0</v>
          </cell>
        </row>
      </sheetData>
      <sheetData sheetId="1"/>
      <sheetData sheetId="2"/>
      <sheetData sheetId="3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KT-621"/>
    </sheetNames>
    <sheetDataSet>
      <sheetData sheetId="0">
        <row r="3">
          <cell r="L3">
            <v>65.119568000000001</v>
          </cell>
        </row>
        <row r="5">
          <cell r="L5">
            <v>775.48500000000001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281.890197</v>
          </cell>
        </row>
        <row r="5">
          <cell r="K5">
            <v>308727</v>
          </cell>
        </row>
        <row r="6">
          <cell r="K6">
            <v>202345</v>
          </cell>
        </row>
      </sheetData>
      <sheetData sheetId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nktiva"/>
      <sheetName val="Model"/>
    </sheetNames>
    <sheetDataSet>
      <sheetData sheetId="0">
        <row r="3">
          <cell r="J3">
            <v>696.53341799999998</v>
          </cell>
        </row>
        <row r="5">
          <cell r="J5">
            <v>217.97900000000001</v>
          </cell>
        </row>
        <row r="6">
          <cell r="J6">
            <v>692.91800000000001</v>
          </cell>
        </row>
      </sheetData>
      <sheetData sheetId="1"/>
      <sheetData sheetId="2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  <sheetName val="Yutrepia"/>
      <sheetName val="Generic"/>
    </sheetNames>
    <sheetDataSet>
      <sheetData sheetId="0">
        <row r="3">
          <cell r="J3">
            <v>64.344476</v>
          </cell>
        </row>
        <row r="5">
          <cell r="J5">
            <v>111.794</v>
          </cell>
        </row>
        <row r="6">
          <cell r="J6">
            <v>19.475999999999999</v>
          </cell>
        </row>
      </sheetData>
      <sheetData sheetId="1"/>
      <sheetData sheetId="2"/>
      <sheetData sheetId="3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Imcivree"/>
    </sheetNames>
    <sheetDataSet>
      <sheetData sheetId="0">
        <row r="3">
          <cell r="K3">
            <v>63.621471999999997</v>
          </cell>
        </row>
        <row r="5">
          <cell r="K5">
            <v>314.488</v>
          </cell>
        </row>
        <row r="6">
          <cell r="K6">
            <v>107.934</v>
          </cell>
        </row>
      </sheetData>
      <sheetData sheetId="1"/>
      <sheetData sheetId="2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M3">
            <v>30.538378000000002</v>
          </cell>
        </row>
        <row r="5">
          <cell r="M5">
            <v>145.149</v>
          </cell>
        </row>
        <row r="6">
          <cell r="M6">
            <v>0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80.031999999999996</v>
          </cell>
        </row>
        <row r="5">
          <cell r="K5">
            <v>190.494</v>
          </cell>
        </row>
        <row r="6">
          <cell r="K6">
            <v>50.073</v>
          </cell>
        </row>
      </sheetData>
      <sheetData sheetId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I3">
            <v>310.98454199999998</v>
          </cell>
        </row>
        <row r="5">
          <cell r="I5">
            <v>408.50700000000001</v>
          </cell>
        </row>
        <row r="6">
          <cell r="I6">
            <v>0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991.7</v>
          </cell>
        </row>
        <row r="5">
          <cell r="K5">
            <v>6237</v>
          </cell>
        </row>
        <row r="6">
          <cell r="K6">
            <v>3718</v>
          </cell>
        </row>
      </sheetData>
      <sheetData sheetId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221.74757500000001</v>
          </cell>
        </row>
        <row r="5">
          <cell r="K5">
            <v>236</v>
          </cell>
        </row>
        <row r="6">
          <cell r="K6">
            <v>1512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asgevy"/>
      <sheetName val="Model"/>
    </sheetNames>
    <sheetDataSet>
      <sheetData sheetId="0">
        <row r="3">
          <cell r="L3">
            <v>96.448791999999997</v>
          </cell>
        </row>
        <row r="5">
          <cell r="L5">
            <v>2441.7849999999999</v>
          </cell>
        </row>
        <row r="6">
          <cell r="L6">
            <v>585.47</v>
          </cell>
        </row>
      </sheetData>
      <sheetData sheetId="1"/>
      <sheetData sheetId="2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uplazid"/>
      <sheetName val="Daybue"/>
    </sheetNames>
    <sheetDataSet>
      <sheetData sheetId="0">
        <row r="3">
          <cell r="K3">
            <v>166.17400000000001</v>
          </cell>
        </row>
        <row r="5">
          <cell r="K5">
            <v>851</v>
          </cell>
        </row>
        <row r="6">
          <cell r="K6">
            <v>0</v>
          </cell>
        </row>
      </sheetData>
      <sheetData sheetId="1"/>
      <sheetData sheetId="2"/>
      <sheetData sheetId="3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101"/>
      <sheetName val="251"/>
    </sheetNames>
    <sheetDataSet>
      <sheetData sheetId="0">
        <row r="3">
          <cell r="K3">
            <v>113.121357</v>
          </cell>
        </row>
        <row r="5">
          <cell r="K5">
            <v>642.26800000000003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DPHL01"/>
    </sheetNames>
    <sheetDataSet>
      <sheetData sheetId="0">
        <row r="3">
          <cell r="J3">
            <v>41.778686999999998</v>
          </cell>
        </row>
        <row r="5">
          <cell r="J5">
            <v>390.79700000000003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93.772288000000003</v>
          </cell>
        </row>
        <row r="5">
          <cell r="J5">
            <v>511.75100000000003</v>
          </cell>
        </row>
        <row r="6">
          <cell r="J6">
            <v>0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edatolisib"/>
    </sheetNames>
    <sheetDataSet>
      <sheetData sheetId="0">
        <row r="3">
          <cell r="L3">
            <v>48.336675</v>
          </cell>
        </row>
      </sheetData>
      <sheetData sheetId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NL310"/>
    </sheetNames>
    <sheetDataSet>
      <sheetData sheetId="0">
        <row r="3">
          <cell r="K3">
            <v>187.04</v>
          </cell>
        </row>
        <row r="5">
          <cell r="K5">
            <v>1051.4690000000001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VK2735"/>
    </sheetNames>
    <sheetDataSet>
      <sheetData sheetId="0">
        <row r="3">
          <cell r="K3">
            <v>115.554</v>
          </cell>
        </row>
        <row r="5">
          <cell r="K5">
            <v>705.73900000000003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rvykti"/>
    </sheetNames>
    <sheetDataSet>
      <sheetData sheetId="0">
        <row r="3">
          <cell r="K3">
            <v>182.60207700000001</v>
          </cell>
        </row>
        <row r="5">
          <cell r="K5">
            <v>1300</v>
          </cell>
        </row>
        <row r="6">
          <cell r="K6">
            <v>291.55900000000003</v>
          </cell>
        </row>
      </sheetData>
      <sheetData sheetId="1"/>
      <sheetData sheetId="2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obicetrapib"/>
    </sheetNames>
    <sheetDataSet>
      <sheetData sheetId="0">
        <row r="3">
          <cell r="I3">
            <v>112.27067700000001</v>
          </cell>
        </row>
        <row r="5">
          <cell r="I5">
            <v>748.42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87.643000000000001</v>
          </cell>
        </row>
        <row r="5">
          <cell r="L5">
            <v>991.86899999999991</v>
          </cell>
        </row>
        <row r="6">
          <cell r="L6">
            <v>0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SBR-1290"/>
    </sheetNames>
    <sheetDataSet>
      <sheetData sheetId="0">
        <row r="3">
          <cell r="N3">
            <v>57.196520333333332</v>
          </cell>
        </row>
        <row r="5">
          <cell r="N5">
            <v>927.11899999999991</v>
          </cell>
        </row>
        <row r="6">
          <cell r="N6">
            <v>0</v>
          </cell>
        </row>
      </sheetData>
      <sheetData sheetId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AM-101"/>
      <sheetName val="BEAM-302"/>
    </sheetNames>
    <sheetDataSet>
      <sheetData sheetId="0">
        <row r="3">
          <cell r="K3">
            <v>82.415619000000007</v>
          </cell>
        </row>
        <row r="5">
          <cell r="K5">
            <v>1008.165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eligrotug"/>
    </sheetNames>
    <sheetDataSet>
      <sheetData sheetId="0">
        <row r="3">
          <cell r="N3">
            <v>79.212746999999993</v>
          </cell>
        </row>
        <row r="5">
          <cell r="N5">
            <v>753.24</v>
          </cell>
        </row>
        <row r="6">
          <cell r="N6">
            <v>20.523</v>
          </cell>
        </row>
      </sheetData>
      <sheetData sheetId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nabulphine"/>
    </sheetNames>
    <sheetDataSet>
      <sheetData sheetId="0">
        <row r="3">
          <cell r="J3">
            <v>72.591916999999995</v>
          </cell>
        </row>
        <row r="5">
          <cell r="J5">
            <v>69.49499999999999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RGN-2012"/>
    </sheetNames>
    <sheetDataSet>
      <sheetData sheetId="0">
        <row r="3">
          <cell r="J3">
            <v>297.97291999999999</v>
          </cell>
        </row>
        <row r="5">
          <cell r="J5">
            <v>59.753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zpegaldesleukin"/>
    </sheetNames>
    <sheetDataSet>
      <sheetData sheetId="0">
        <row r="3">
          <cell r="I3">
            <v>12.406903866666665</v>
          </cell>
        </row>
        <row r="5">
          <cell r="I5">
            <v>220.65100000000001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267.92457000000002</v>
          </cell>
        </row>
        <row r="5">
          <cell r="J5">
            <v>51</v>
          </cell>
        </row>
        <row r="6">
          <cell r="J6">
            <v>1035</v>
          </cell>
        </row>
      </sheetData>
      <sheetData sheetId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alafold"/>
    </sheetNames>
    <sheetDataSet>
      <sheetData sheetId="0">
        <row r="3">
          <cell r="M3">
            <v>296.59093100000001</v>
          </cell>
        </row>
        <row r="5">
          <cell r="M5">
            <v>260.06200000000001</v>
          </cell>
        </row>
        <row r="6">
          <cell r="M6">
            <v>388.93900000000002</v>
          </cell>
        </row>
      </sheetData>
      <sheetData sheetId="1"/>
      <sheetData sheetId="2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306.61146600000001</v>
          </cell>
        </row>
        <row r="5">
          <cell r="L5">
            <v>533.82600000000002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rysvita"/>
      <sheetName val="apazunersen"/>
    </sheetNames>
    <sheetDataSet>
      <sheetData sheetId="0">
        <row r="3">
          <cell r="L3">
            <v>98.489223999999993</v>
          </cell>
        </row>
        <row r="5">
          <cell r="L5">
            <v>534</v>
          </cell>
        </row>
        <row r="6">
          <cell r="L6">
            <v>1128</v>
          </cell>
        </row>
      </sheetData>
      <sheetData sheetId="1">
        <row r="31">
          <cell r="BC31">
            <v>0.05</v>
          </cell>
        </row>
        <row r="32">
          <cell r="BC32">
            <v>-0.05</v>
          </cell>
        </row>
        <row r="33">
          <cell r="BC33">
            <v>0.09</v>
          </cell>
        </row>
        <row r="35">
          <cell r="BC35">
            <v>57.422613549318861</v>
          </cell>
        </row>
      </sheetData>
      <sheetData sheetId="2"/>
      <sheetData sheetId="3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del"/>
      <sheetName val="Relyvrio"/>
    </sheetNames>
    <sheetDataSet>
      <sheetData sheetId="0">
        <row r="3">
          <cell r="O3">
            <v>67.176067000000003</v>
          </cell>
        </row>
        <row r="5">
          <cell r="O5">
            <v>345.67399999999998</v>
          </cell>
        </row>
        <row r="6">
          <cell r="O6">
            <v>0</v>
          </cell>
        </row>
      </sheetData>
      <sheetData sheetId="1"/>
      <sheetData sheetId="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Orladeyo"/>
      <sheetName val="navenibart"/>
      <sheetName val="Model"/>
    </sheetNames>
    <sheetDataSet>
      <sheetData sheetId="0">
        <row r="3">
          <cell r="K3">
            <v>206.37708799999999</v>
          </cell>
        </row>
        <row r="5">
          <cell r="K5">
            <v>260</v>
          </cell>
        </row>
        <row r="6">
          <cell r="K6">
            <v>308.48399999999998</v>
          </cell>
        </row>
      </sheetData>
      <sheetData sheetId="1"/>
      <sheetData sheetId="2"/>
      <sheetData sheetId="3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tacicept"/>
    </sheetNames>
    <sheetDataSet>
      <sheetData sheetId="0">
        <row r="3">
          <cell r="J3">
            <v>71.782904000000002</v>
          </cell>
        </row>
        <row r="5">
          <cell r="J5">
            <v>596.76</v>
          </cell>
        </row>
        <row r="6">
          <cell r="J6">
            <v>75.028999999999996</v>
          </cell>
        </row>
      </sheetData>
      <sheetData sheetId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aletrectinib"/>
    </sheetNames>
    <sheetDataSet>
      <sheetData sheetId="0">
        <row r="3">
          <cell r="K3">
            <v>249.24512899999999</v>
          </cell>
        </row>
        <row r="5">
          <cell r="K5">
            <v>577.16899999999998</v>
          </cell>
        </row>
        <row r="6">
          <cell r="K6">
            <v>11.634</v>
          </cell>
        </row>
      </sheetData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nito-cel"/>
    </sheetNames>
    <sheetDataSet>
      <sheetData sheetId="0">
        <row r="3">
          <cell r="K3">
            <v>53.755679000000001</v>
          </cell>
        </row>
        <row r="5">
          <cell r="K5">
            <v>649.44200000000001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117.121397</v>
          </cell>
        </row>
        <row r="5">
          <cell r="L5">
            <v>1590.0459999999998</v>
          </cell>
        </row>
        <row r="6">
          <cell r="L6">
            <v>0</v>
          </cell>
        </row>
      </sheetData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levidys"/>
      <sheetName val="SRP-9005"/>
      <sheetName val="SRP-9004"/>
      <sheetName val="SRP-9003"/>
    </sheetNames>
    <sheetDataSet>
      <sheetData sheetId="0">
        <row r="3">
          <cell r="L3">
            <v>105.576222</v>
          </cell>
        </row>
        <row r="5">
          <cell r="L5">
            <v>735.125</v>
          </cell>
        </row>
        <row r="6">
          <cell r="L6">
            <v>838.16200000000003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48.675821999999997</v>
          </cell>
        </row>
        <row r="5">
          <cell r="L5">
            <v>230.154</v>
          </cell>
        </row>
        <row r="6">
          <cell r="L6">
            <v>587.10199999999998</v>
          </cell>
        </row>
      </sheetData>
      <sheetData sheetId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roriluzole"/>
      <sheetName val="BHV-2100"/>
    </sheetNames>
    <sheetDataSet>
      <sheetData sheetId="0">
        <row r="3">
          <cell r="L3">
            <v>105.788197</v>
          </cell>
        </row>
        <row r="5">
          <cell r="L5">
            <v>404.98</v>
          </cell>
        </row>
        <row r="6">
          <cell r="L6">
            <v>257.07</v>
          </cell>
        </row>
      </sheetData>
      <sheetData sheetId="1"/>
      <sheetData sheetId="2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76.826999999999998</v>
          </cell>
        </row>
        <row r="5">
          <cell r="L5">
            <v>1215590</v>
          </cell>
        </row>
        <row r="6">
          <cell r="L6">
            <v>80000</v>
          </cell>
        </row>
      </sheetData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52.482019999999999</v>
          </cell>
        </row>
        <row r="5">
          <cell r="L5">
            <v>658</v>
          </cell>
        </row>
        <row r="6">
          <cell r="L6">
            <v>0</v>
          </cell>
        </row>
      </sheetData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244.66426300000001</v>
          </cell>
        </row>
        <row r="5">
          <cell r="L5">
            <v>61.384999999999998</v>
          </cell>
        </row>
        <row r="6">
          <cell r="L6">
            <v>72.427999999999997</v>
          </cell>
        </row>
      </sheetData>
      <sheetData sheetId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EC-2282"/>
    </sheetNames>
    <sheetDataSet>
      <sheetData sheetId="0">
        <row r="3">
          <cell r="K3">
            <v>336.03598</v>
          </cell>
        </row>
        <row r="5">
          <cell r="K5">
            <v>603</v>
          </cell>
        </row>
        <row r="6">
          <cell r="K6">
            <v>27.446999999999999</v>
          </cell>
        </row>
      </sheetData>
      <sheetData sheetId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P-A501"/>
    </sheetNames>
    <sheetDataSet>
      <sheetData sheetId="0">
        <row r="3">
          <cell r="K3">
            <v>107.903871</v>
          </cell>
        </row>
        <row r="5">
          <cell r="K5">
            <v>271.49400000000003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C291"/>
    </sheetNames>
    <sheetDataSet>
      <sheetData sheetId="0">
        <row r="3">
          <cell r="I3">
            <v>222.5</v>
          </cell>
        </row>
        <row r="5">
          <cell r="I5">
            <v>251.643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TLA-2001"/>
      <sheetName val="NTLA-2002"/>
      <sheetName val="NTLA-3001"/>
    </sheetNames>
    <sheetDataSet>
      <sheetData sheetId="0">
        <row r="3">
          <cell r="J3">
            <v>96.474999999999994</v>
          </cell>
        </row>
        <row r="5">
          <cell r="J5">
            <v>939.9</v>
          </cell>
        </row>
        <row r="6">
          <cell r="J6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mtagvi"/>
    </sheetNames>
    <sheetDataSet>
      <sheetData sheetId="0">
        <row r="3">
          <cell r="I3">
            <v>303.51387199999999</v>
          </cell>
        </row>
        <row r="5">
          <cell r="I5">
            <v>418.97200000000004</v>
          </cell>
        </row>
        <row r="6">
          <cell r="I6">
            <v>1</v>
          </cell>
        </row>
      </sheetData>
      <sheetData sheetId="1"/>
      <sheetData sheetId="2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O3">
            <v>61.833530000000003</v>
          </cell>
        </row>
        <row r="5">
          <cell r="O5">
            <v>657.05299999999988</v>
          </cell>
        </row>
        <row r="6">
          <cell r="O6">
            <v>19.260000000000002</v>
          </cell>
        </row>
      </sheetData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usolimogene"/>
    </sheetNames>
    <sheetDataSet>
      <sheetData sheetId="0">
        <row r="5">
          <cell r="K5">
            <v>268.88900000000001</v>
          </cell>
        </row>
        <row r="6">
          <cell r="K6">
            <v>83.308000000000007</v>
          </cell>
        </row>
      </sheetData>
      <sheetData sheetId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abogratinib"/>
    </sheetNames>
    <sheetDataSet>
      <sheetData sheetId="0">
        <row r="3">
          <cell r="I3">
            <v>59.47</v>
          </cell>
        </row>
        <row r="5">
          <cell r="I5">
            <v>383.46600000000001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Xdemvy"/>
    </sheetNames>
    <sheetDataSet>
      <sheetData sheetId="0">
        <row r="3">
          <cell r="J3">
            <v>38.377178000000001</v>
          </cell>
        </row>
        <row r="5">
          <cell r="J5">
            <v>291.39999999999998</v>
          </cell>
        </row>
        <row r="6">
          <cell r="J6">
            <v>71.844999999999999</v>
          </cell>
        </row>
      </sheetData>
      <sheetData sheetId="1"/>
      <sheetData sheetId="2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150"/>
    </sheetNames>
    <sheetDataSet>
      <sheetData sheetId="0">
        <row r="3">
          <cell r="L3">
            <v>55.286887999999998</v>
          </cell>
        </row>
        <row r="5">
          <cell r="L5">
            <v>578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epdegestrant"/>
    </sheetNames>
    <sheetDataSet>
      <sheetData sheetId="0">
        <row r="3">
          <cell r="O3">
            <v>72.991389999999996</v>
          </cell>
        </row>
        <row r="5">
          <cell r="O5">
            <v>954.3</v>
          </cell>
        </row>
        <row r="6">
          <cell r="O6">
            <v>0.5</v>
          </cell>
        </row>
      </sheetData>
      <sheetData sheetId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VO756"/>
      <sheetName val="EVO301"/>
    </sheetNames>
    <sheetDataSet>
      <sheetData sheetId="0">
        <row r="3">
          <cell r="L3">
            <v>36.018371999999999</v>
          </cell>
        </row>
        <row r="5">
          <cell r="L5">
            <v>307.012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K3">
            <v>60.526128</v>
          </cell>
        </row>
        <row r="5">
          <cell r="K5">
            <v>439</v>
          </cell>
        </row>
        <row r="6">
          <cell r="K6">
            <v>0</v>
          </cell>
        </row>
      </sheetData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SC-101"/>
    </sheetNames>
    <sheetDataSet>
      <sheetData sheetId="0">
        <row r="3">
          <cell r="J3">
            <v>129.835938</v>
          </cell>
        </row>
        <row r="5">
          <cell r="J5">
            <v>184.5</v>
          </cell>
        </row>
        <row r="6">
          <cell r="J6">
            <v>32.414000000000001</v>
          </cell>
        </row>
      </sheetData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Monkeypox"/>
      <sheetName val="Model"/>
      <sheetName val="Potential award"/>
      <sheetName val="TPOXX"/>
      <sheetName val="Legal"/>
      <sheetName val="Pipeline"/>
    </sheetNames>
    <sheetDataSet>
      <sheetData sheetId="0">
        <row r="3">
          <cell r="L3">
            <v>72.566367</v>
          </cell>
        </row>
        <row r="5">
          <cell r="L5">
            <v>153.25991400000001</v>
          </cell>
        </row>
        <row r="6">
          <cell r="L6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101.354</v>
          </cell>
        </row>
        <row r="5">
          <cell r="K5">
            <v>531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oquelitinib"/>
    </sheetNames>
    <sheetDataSet>
      <sheetData sheetId="0">
        <row r="3">
          <cell r="K3">
            <v>74.681871999999998</v>
          </cell>
        </row>
        <row r="5">
          <cell r="K5">
            <v>77.219000000000008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eralutinib"/>
    </sheetNames>
    <sheetDataSet>
      <sheetData sheetId="0">
        <row r="3">
          <cell r="K3">
            <v>226.227259</v>
          </cell>
        </row>
        <row r="5">
          <cell r="K5">
            <v>354.488</v>
          </cell>
        </row>
        <row r="6">
          <cell r="K6">
            <v>197.05099999999999</v>
          </cell>
        </row>
      </sheetData>
      <sheetData sheetId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alinpepimut-S"/>
      <sheetName val="WT1"/>
      <sheetName val="Literature"/>
      <sheetName val="Trial"/>
      <sheetName val="Patients"/>
      <sheetName val="18mo Scenario"/>
      <sheetName val="24mo Scenario"/>
    </sheetNames>
    <sheetDataSet>
      <sheetData sheetId="0">
        <row r="3">
          <cell r="L3">
            <v>70.381979000000001</v>
          </cell>
        </row>
        <row r="5">
          <cell r="L5">
            <v>21.030999999999999</v>
          </cell>
        </row>
        <row r="6">
          <cell r="L6">
            <v>10.036999999999999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58.781999999999996</v>
          </cell>
        </row>
        <row r="5">
          <cell r="J5">
            <v>1000</v>
          </cell>
        </row>
        <row r="6">
          <cell r="J6">
            <v>0</v>
          </cell>
        </row>
      </sheetData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ibotercept"/>
    </sheetNames>
    <sheetDataSet>
      <sheetData sheetId="0">
        <row r="3">
          <cell r="L3">
            <v>40.507409000000003</v>
          </cell>
        </row>
        <row r="5">
          <cell r="L5">
            <v>732.13299999999992</v>
          </cell>
        </row>
        <row r="6">
          <cell r="L6">
            <v>0</v>
          </cell>
        </row>
      </sheetData>
      <sheetData sheetId="1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9.3813440000000003</v>
          </cell>
        </row>
        <row r="5">
          <cell r="J5">
            <v>25</v>
          </cell>
        </row>
        <row r="6">
          <cell r="J6">
            <v>0</v>
          </cell>
        </row>
      </sheetData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21.688772</v>
          </cell>
        </row>
        <row r="5">
          <cell r="L5">
            <v>217.797</v>
          </cell>
        </row>
        <row r="6">
          <cell r="L6">
            <v>621.56200000000001</v>
          </cell>
        </row>
      </sheetData>
      <sheetData sheetId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alazestrant"/>
    </sheetNames>
    <sheetDataSet>
      <sheetData sheetId="0">
        <row r="3">
          <cell r="J3">
            <v>85.754086000000001</v>
          </cell>
        </row>
        <row r="5">
          <cell r="J5">
            <v>328.96</v>
          </cell>
        </row>
        <row r="6">
          <cell r="J6">
            <v>3</v>
          </cell>
        </row>
      </sheetData>
      <sheetData sheetId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SHA-102"/>
    </sheetNames>
    <sheetDataSet>
      <sheetData sheetId="0">
        <row r="3">
          <cell r="K3">
            <v>273.91937300000001</v>
          </cell>
        </row>
        <row r="5">
          <cell r="K5">
            <v>297.34399999999999</v>
          </cell>
        </row>
        <row r="6">
          <cell r="K6">
            <v>50.851999999999997</v>
          </cell>
        </row>
      </sheetData>
      <sheetData sheetId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Gvoke"/>
    </sheetNames>
    <sheetDataSet>
      <sheetData sheetId="0">
        <row r="3">
          <cell r="L3">
            <v>153.940135</v>
          </cell>
        </row>
        <row r="5">
          <cell r="L5">
            <v>71.620999999999995</v>
          </cell>
        </row>
        <row r="6">
          <cell r="L6">
            <v>232.108</v>
          </cell>
        </row>
      </sheetData>
      <sheetData sheetId="1"/>
      <sheetData sheetId="2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KL1333"/>
    </sheetNames>
    <sheetDataSet>
      <sheetData sheetId="0">
        <row r="3">
          <cell r="M3">
            <v>785.51099999999997</v>
          </cell>
        </row>
        <row r="5">
          <cell r="M5">
            <v>169.4</v>
          </cell>
        </row>
        <row r="6">
          <cell r="M6">
            <v>82.4</v>
          </cell>
        </row>
      </sheetData>
      <sheetData sheetId="1"/>
      <sheetData sheetId="2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K3">
            <v>810.72042399999998</v>
          </cell>
        </row>
        <row r="5">
          <cell r="K5">
            <v>4.2309999999999999</v>
          </cell>
        </row>
        <row r="6">
          <cell r="K6">
            <v>42.215000000000003</v>
          </cell>
        </row>
      </sheetData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TEV"/>
    </sheetNames>
    <sheetDataSet>
      <sheetData sheetId="0">
        <row r="3">
          <cell r="J3">
            <v>127.84193</v>
          </cell>
        </row>
        <row r="5">
          <cell r="J5">
            <v>115.78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fzofitimod"/>
      <sheetName val="Glossary"/>
      <sheetName val="Papers"/>
      <sheetName val="Literature"/>
      <sheetName val="ASS"/>
      <sheetName val="neuropilin"/>
      <sheetName val="sarcoidosis"/>
      <sheetName val="Math"/>
    </sheetNames>
    <sheetDataSet>
      <sheetData sheetId="0">
        <row r="3">
          <cell r="K3">
            <v>97.986633999999995</v>
          </cell>
        </row>
        <row r="5">
          <cell r="K5">
            <v>112.38900000000001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42.199413999999997</v>
          </cell>
        </row>
        <row r="5">
          <cell r="J5">
            <v>249.57499999999999</v>
          </cell>
        </row>
        <row r="6">
          <cell r="J6">
            <v>121.7</v>
          </cell>
        </row>
      </sheetData>
      <sheetData sheetId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79.032341000000002</v>
          </cell>
        </row>
        <row r="5">
          <cell r="J5">
            <v>266.5</v>
          </cell>
        </row>
        <row r="6">
          <cell r="J6">
            <v>75</v>
          </cell>
        </row>
      </sheetData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onelokimab"/>
    </sheetNames>
    <sheetDataSet>
      <sheetData sheetId="0">
        <row r="3">
          <cell r="J3">
            <v>63.501401999999999</v>
          </cell>
        </row>
        <row r="5">
          <cell r="J5">
            <v>425.08299999999997</v>
          </cell>
        </row>
        <row r="6">
          <cell r="J6">
            <v>73.381</v>
          </cell>
        </row>
      </sheetData>
      <sheetData sheetId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egipanermin"/>
      <sheetName val="Autoimmune-Inflammatory-Drugs"/>
      <sheetName val="Trials"/>
      <sheetName val="AD"/>
      <sheetName val="TNF"/>
      <sheetName val="Glossary"/>
      <sheetName val="Literature"/>
    </sheetNames>
    <sheetDataSet>
      <sheetData sheetId="0">
        <row r="3">
          <cell r="M3">
            <v>26.585258</v>
          </cell>
        </row>
        <row r="5">
          <cell r="M5">
            <v>27.734000000000002</v>
          </cell>
        </row>
        <row r="6">
          <cell r="M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denifanstat"/>
    </sheetNames>
    <sheetDataSet>
      <sheetData sheetId="0">
        <row r="3">
          <cell r="K3">
            <v>32.195345000000003</v>
          </cell>
        </row>
        <row r="5">
          <cell r="K5">
            <v>144.56900000000002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110.29504300000001</v>
          </cell>
        </row>
        <row r="5">
          <cell r="J5">
            <v>334.92200000000003</v>
          </cell>
        </row>
        <row r="6">
          <cell r="J6">
            <v>0</v>
          </cell>
        </row>
      </sheetData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48.119444000000001</v>
          </cell>
        </row>
        <row r="5">
          <cell r="J5">
            <v>383.93500000000006</v>
          </cell>
        </row>
        <row r="6">
          <cell r="J6">
            <v>0</v>
          </cell>
        </row>
      </sheetData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M3">
            <v>44.567334000000002</v>
          </cell>
        </row>
        <row r="5">
          <cell r="M5">
            <v>99.997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ebetralstat"/>
    </sheetNames>
    <sheetDataSet>
      <sheetData sheetId="0">
        <row r="3">
          <cell r="K3">
            <v>43.215471999999998</v>
          </cell>
        </row>
        <row r="5">
          <cell r="K5">
            <v>174.27199999999999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M3">
            <v>19.799357000000001</v>
          </cell>
        </row>
        <row r="5">
          <cell r="M5">
            <v>236.422</v>
          </cell>
        </row>
        <row r="6">
          <cell r="M6">
            <v>0</v>
          </cell>
        </row>
      </sheetData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uravyu"/>
    </sheetNames>
    <sheetDataSet>
      <sheetData sheetId="0">
        <row r="3">
          <cell r="K3">
            <v>53.518210000000003</v>
          </cell>
        </row>
        <row r="5">
          <cell r="K5">
            <v>280.24800000000005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CLS-AX"/>
    </sheetNames>
    <sheetDataSet>
      <sheetData sheetId="0">
        <row r="3">
          <cell r="K3">
            <v>74.745571999999996</v>
          </cell>
        </row>
        <row r="5">
          <cell r="K5">
            <v>29.36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88.319316999999998</v>
          </cell>
        </row>
        <row r="5">
          <cell r="L5">
            <v>14.502000000000001</v>
          </cell>
        </row>
        <row r="6">
          <cell r="L6">
            <v>0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K3">
            <v>35.751956</v>
          </cell>
        </row>
        <row r="5">
          <cell r="K5">
            <v>66.650000000000006</v>
          </cell>
        </row>
        <row r="6">
          <cell r="K6">
            <v>11.667</v>
          </cell>
        </row>
      </sheetData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70.558753999999993</v>
          </cell>
        </row>
        <row r="5">
          <cell r="K5">
            <v>426.65000000000003</v>
          </cell>
        </row>
        <row r="6">
          <cell r="K6">
            <v>0</v>
          </cell>
        </row>
      </sheetData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6.4523979999999996</v>
          </cell>
        </row>
        <row r="5">
          <cell r="J5">
            <v>42.222000000000001</v>
          </cell>
        </row>
        <row r="6">
          <cell r="J6">
            <v>15.503</v>
          </cell>
        </row>
      </sheetData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larcamesine"/>
      <sheetName val="IP"/>
      <sheetName val="Sigma"/>
    </sheetNames>
    <sheetDataSet>
      <sheetData sheetId="0">
        <row r="3">
          <cell r="I3">
            <v>85.893833999999998</v>
          </cell>
        </row>
        <row r="5">
          <cell r="I5">
            <v>101.164</v>
          </cell>
        </row>
        <row r="6">
          <cell r="I6">
            <v>0</v>
          </cell>
        </row>
      </sheetData>
      <sheetData sheetId="1"/>
      <sheetData sheetId="2"/>
      <sheetData sheetId="3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aregacestat"/>
    </sheetNames>
    <sheetDataSet>
      <sheetData sheetId="0">
        <row r="3">
          <cell r="K3">
            <v>87.045007999999996</v>
          </cell>
        </row>
        <row r="5">
          <cell r="K5">
            <v>267.89999999999998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27.996963000000001</v>
          </cell>
        </row>
        <row r="5">
          <cell r="K5">
            <v>293.70600000000002</v>
          </cell>
        </row>
        <row r="6">
          <cell r="K6">
            <v>0</v>
          </cell>
        </row>
      </sheetData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115.213407</v>
          </cell>
        </row>
        <row r="5">
          <cell r="J5">
            <v>581.08999999999992</v>
          </cell>
        </row>
        <row r="6">
          <cell r="J6">
            <v>264.50900000000001</v>
          </cell>
        </row>
      </sheetData>
      <sheetData sheetId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imdusiran"/>
    </sheetNames>
    <sheetDataSet>
      <sheetData sheetId="0">
        <row r="3">
          <cell r="L3">
            <v>189.49168499999999</v>
          </cell>
        </row>
        <row r="5">
          <cell r="L5">
            <v>130.75800000000001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eramiocel"/>
    </sheetNames>
    <sheetDataSet>
      <sheetData sheetId="0">
        <row r="3">
          <cell r="K3" t="str">
            <v>Q325</v>
          </cell>
        </row>
      </sheetData>
      <sheetData sheetId="1"/>
      <sheetData sheetId="2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K3">
            <v>92.673131999999995</v>
          </cell>
        </row>
        <row r="5">
          <cell r="K5">
            <v>165.08099999999999</v>
          </cell>
        </row>
        <row r="6">
          <cell r="K6">
            <v>30.164999999999999</v>
          </cell>
        </row>
      </sheetData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nomlabofusp"/>
    </sheetNames>
    <sheetDataSet>
      <sheetData sheetId="0">
        <row r="3">
          <cell r="J3">
            <v>106.59039199999999</v>
          </cell>
        </row>
        <row r="5">
          <cell r="J5">
            <v>204.524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X45"/>
    </sheetNames>
    <sheetDataSet>
      <sheetData sheetId="0">
        <row r="3">
          <cell r="M3">
            <v>14.752689</v>
          </cell>
        </row>
        <row r="5">
          <cell r="M5">
            <v>159.095</v>
          </cell>
        </row>
        <row r="6">
          <cell r="M6">
            <v>0</v>
          </cell>
        </row>
      </sheetData>
      <sheetData sheetId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6.1240869999999994</v>
          </cell>
        </row>
        <row r="5">
          <cell r="L5">
            <v>40.720092000000001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rsodetug"/>
    </sheetNames>
    <sheetDataSet>
      <sheetData sheetId="0">
        <row r="3">
          <cell r="M3">
            <v>97.631</v>
          </cell>
        </row>
        <row r="5">
          <cell r="M5">
            <v>195.3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M3">
            <v>32.475537000000003</v>
          </cell>
        </row>
        <row r="5">
          <cell r="M5">
            <v>16.823999999999998</v>
          </cell>
        </row>
        <row r="6">
          <cell r="M6">
            <v>14.916</v>
          </cell>
        </row>
      </sheetData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129.17000400000001</v>
          </cell>
        </row>
        <row r="5">
          <cell r="L5">
            <v>65.116</v>
          </cell>
        </row>
        <row r="6">
          <cell r="L6">
            <v>0</v>
          </cell>
        </row>
      </sheetData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pz-cel"/>
    </sheetNames>
    <sheetDataSet>
      <sheetData sheetId="0">
        <row r="3">
          <cell r="J3">
            <v>43.314397</v>
          </cell>
        </row>
        <row r="5">
          <cell r="J5">
            <v>122.708</v>
          </cell>
        </row>
        <row r="6">
          <cell r="J6">
            <v>18.355</v>
          </cell>
        </row>
      </sheetData>
      <sheetData sheetId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P3">
            <v>22.004159000000001</v>
          </cell>
        </row>
        <row r="5">
          <cell r="P5">
            <v>4.1559999999999997</v>
          </cell>
        </row>
        <row r="6">
          <cell r="P6">
            <v>8.4879999999999995</v>
          </cell>
        </row>
      </sheetData>
      <sheetData sheetId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54.533253999999999</v>
          </cell>
        </row>
        <row r="5">
          <cell r="L5">
            <v>371.02100000000002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L3">
            <v>6.1689999999999996</v>
          </cell>
        </row>
        <row r="5">
          <cell r="L5">
            <v>53.3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52.028145000000002</v>
          </cell>
        </row>
        <row r="5">
          <cell r="L5">
            <v>193.8</v>
          </cell>
        </row>
        <row r="6">
          <cell r="L6">
            <v>0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firmonertinib"/>
      <sheetName val="Crystal Structure"/>
    </sheetNames>
    <sheetDataSet>
      <sheetData sheetId="0">
        <row r="3">
          <cell r="K3">
            <v>40.568944000000002</v>
          </cell>
        </row>
        <row r="5">
          <cell r="K5">
            <v>235.68700000000001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rilparencel"/>
    </sheetNames>
    <sheetDataSet>
      <sheetData sheetId="0">
        <row r="3">
          <cell r="I3">
            <v>129.53612100000001</v>
          </cell>
        </row>
        <row r="5">
          <cell r="I5">
            <v>358.29200000000003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48.755451000000001</v>
          </cell>
        </row>
        <row r="5">
          <cell r="K5">
            <v>71.718999999999994</v>
          </cell>
        </row>
        <row r="6">
          <cell r="K6">
            <v>30.161999999999999</v>
          </cell>
        </row>
      </sheetData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Pemgarda"/>
    </sheetNames>
    <sheetDataSet>
      <sheetData sheetId="0">
        <row r="3">
          <cell r="M3">
            <v>119.961445</v>
          </cell>
        </row>
        <row r="5">
          <cell r="M5">
            <v>69.349000000000004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J3">
            <v>59.215795</v>
          </cell>
        </row>
        <row r="5">
          <cell r="J5">
            <v>93.183999999999997</v>
          </cell>
        </row>
        <row r="6">
          <cell r="J6">
            <v>31.134</v>
          </cell>
        </row>
      </sheetData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kappa"/>
      <sheetName val="navacaprant"/>
      <sheetName val="Options"/>
    </sheetNames>
    <sheetDataSet>
      <sheetData sheetId="0">
        <row r="3">
          <cell r="K3">
            <v>158.98400000000001</v>
          </cell>
        </row>
        <row r="5">
          <cell r="K5">
            <v>371.63900000000001</v>
          </cell>
        </row>
        <row r="6">
          <cell r="K6">
            <v>0</v>
          </cell>
        </row>
      </sheetData>
      <sheetData sheetId="1"/>
      <sheetData sheetId="2"/>
      <sheetData sheetId="3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Glossary"/>
      <sheetName val="Phase 2"/>
      <sheetName val="Alzheimer's"/>
      <sheetName val="Options"/>
      <sheetName val="simufilam"/>
      <sheetName val="Insiders"/>
      <sheetName val="Prior Successes"/>
      <sheetName val="Prior Failures"/>
      <sheetName val="AB"/>
      <sheetName val="FLNA"/>
    </sheetNames>
    <sheetDataSet>
      <sheetData sheetId="0">
        <row r="3">
          <cell r="J3">
            <v>47.976165999999999</v>
          </cell>
        </row>
        <row r="5">
          <cell r="J5">
            <v>149</v>
          </cell>
        </row>
        <row r="6">
          <cell r="J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tralesinidase"/>
      <sheetName val="Countries"/>
    </sheetNames>
    <sheetDataSet>
      <sheetData sheetId="0">
        <row r="3">
          <cell r="J3">
            <v>1.3720000000000001</v>
          </cell>
        </row>
        <row r="5">
          <cell r="J5">
            <v>48.905999999999999</v>
          </cell>
        </row>
        <row r="6">
          <cell r="J6">
            <v>0</v>
          </cell>
        </row>
      </sheetData>
      <sheetData sheetId="1"/>
      <sheetData sheetId="2"/>
      <sheetData sheetId="3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lapectin"/>
      <sheetName val="Subgroups"/>
      <sheetName val="NASH"/>
      <sheetName val="Papers"/>
    </sheetNames>
    <sheetDataSet>
      <sheetData sheetId="0">
        <row r="3">
          <cell r="K3">
            <v>62.761825000000002</v>
          </cell>
        </row>
        <row r="5">
          <cell r="K5">
            <v>27.06</v>
          </cell>
        </row>
        <row r="6">
          <cell r="K6">
            <v>104.554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27.999521999999999</v>
          </cell>
        </row>
        <row r="5">
          <cell r="K5">
            <v>19.905999999999999</v>
          </cell>
        </row>
        <row r="6">
          <cell r="K6">
            <v>4.4909999999999997</v>
          </cell>
        </row>
      </sheetData>
      <sheetData sheetId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levosimendan "/>
      <sheetName val="6MW in HF"/>
      <sheetName val="Papers"/>
      <sheetName val="inotropes"/>
    </sheetNames>
    <sheetDataSet>
      <sheetData sheetId="0">
        <row r="3">
          <cell r="K3">
            <v>37.423917000000003</v>
          </cell>
        </row>
        <row r="5">
          <cell r="K5">
            <v>117.976</v>
          </cell>
        </row>
        <row r="6">
          <cell r="K6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mpikibart"/>
    </sheetNames>
    <sheetDataSet>
      <sheetData sheetId="0">
        <row r="3">
          <cell r="K3">
            <v>16.956</v>
          </cell>
        </row>
        <row r="5">
          <cell r="K5">
            <v>50.750999999999998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48.877164</v>
          </cell>
        </row>
        <row r="5">
          <cell r="K5">
            <v>183.012</v>
          </cell>
        </row>
        <row r="6">
          <cell r="K6">
            <v>0</v>
          </cell>
        </row>
      </sheetData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36.819809999999997</v>
          </cell>
        </row>
        <row r="5">
          <cell r="L5">
            <v>57.733724000000002</v>
          </cell>
        </row>
        <row r="6">
          <cell r="L6">
            <v>24.225999999999999</v>
          </cell>
        </row>
      </sheetData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AlloNK"/>
    </sheetNames>
    <sheetDataSet>
      <sheetData sheetId="0">
        <row r="3">
          <cell r="K3">
            <v>24.289328000000001</v>
          </cell>
        </row>
        <row r="5">
          <cell r="K5">
            <v>199.59700000000001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38.317897000000002</v>
          </cell>
        </row>
        <row r="5">
          <cell r="K5">
            <v>62.823</v>
          </cell>
        </row>
        <row r="6">
          <cell r="K6">
            <v>0</v>
          </cell>
        </row>
      </sheetData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rilaroxazine"/>
      <sheetName val="Model"/>
    </sheetNames>
    <sheetDataSet>
      <sheetData sheetId="0">
        <row r="3">
          <cell r="K3">
            <v>33.441198999999997</v>
          </cell>
        </row>
        <row r="5">
          <cell r="K5">
            <v>5.5588170000000003</v>
          </cell>
        </row>
        <row r="6">
          <cell r="K6">
            <v>8.3000000000000004E-2</v>
          </cell>
        </row>
      </sheetData>
      <sheetData sheetId="1"/>
      <sheetData sheetId="2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idofludimus"/>
    </sheetNames>
    <sheetDataSet>
      <sheetData sheetId="0">
        <row r="3">
          <cell r="L3">
            <v>101.27258</v>
          </cell>
        </row>
        <row r="5">
          <cell r="L5">
            <v>59.1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LG-055009"/>
    </sheetNames>
    <sheetDataSet>
      <sheetData sheetId="0">
        <row r="3">
          <cell r="L3">
            <v>10.405654999999999</v>
          </cell>
        </row>
        <row r="5">
          <cell r="L5">
            <v>54.908999999999999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rappsol"/>
      <sheetName val="Niemann Pick C"/>
    </sheetNames>
    <sheetDataSet>
      <sheetData sheetId="0">
        <row r="3">
          <cell r="M3">
            <v>51.999996000000003</v>
          </cell>
        </row>
        <row r="5">
          <cell r="M5">
            <v>30.497</v>
          </cell>
        </row>
        <row r="6">
          <cell r="M6">
            <v>0</v>
          </cell>
        </row>
      </sheetData>
      <sheetData sheetId="1"/>
      <sheetData sheetId="2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M3">
            <v>4.0457010000000002</v>
          </cell>
        </row>
        <row r="5">
          <cell r="M5">
            <v>16.379000000000001</v>
          </cell>
        </row>
        <row r="6">
          <cell r="M6">
            <v>0</v>
          </cell>
        </row>
      </sheetData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9.348236</v>
          </cell>
        </row>
        <row r="5">
          <cell r="J5">
            <v>137.59199999999998</v>
          </cell>
        </row>
        <row r="6">
          <cell r="J6">
            <v>0</v>
          </cell>
        </row>
      </sheetData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N3">
            <v>9.4141049999999993</v>
          </cell>
        </row>
        <row r="5">
          <cell r="N5">
            <v>11.249000000000001</v>
          </cell>
        </row>
        <row r="6">
          <cell r="N6">
            <v>18.713000000000001</v>
          </cell>
        </row>
      </sheetData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N3">
            <v>20.079526999999999</v>
          </cell>
        </row>
        <row r="5">
          <cell r="N5">
            <v>16.64</v>
          </cell>
        </row>
        <row r="6">
          <cell r="N6">
            <v>0.69799999999999995</v>
          </cell>
        </row>
      </sheetData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L3">
            <v>48.69059</v>
          </cell>
        </row>
        <row r="5">
          <cell r="L5">
            <v>18.687999999999999</v>
          </cell>
        </row>
        <row r="6">
          <cell r="L6">
            <v>5.4249999999999998</v>
          </cell>
        </row>
      </sheetData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60.293999999999997</v>
          </cell>
        </row>
        <row r="5">
          <cell r="K5">
            <v>136.64599999999999</v>
          </cell>
        </row>
        <row r="6">
          <cell r="K6">
            <v>0</v>
          </cell>
        </row>
      </sheetData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J3">
            <v>30.972162999999998</v>
          </cell>
        </row>
        <row r="5">
          <cell r="J5">
            <v>220.43200000000002</v>
          </cell>
        </row>
        <row r="6">
          <cell r="J6">
            <v>0</v>
          </cell>
        </row>
      </sheetData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heet2"/>
    </sheetNames>
    <sheetDataSet>
      <sheetData sheetId="0">
        <row r="3">
          <cell r="J3">
            <v>71.108999999999995</v>
          </cell>
        </row>
        <row r="5">
          <cell r="J5">
            <v>59.255000000000003</v>
          </cell>
        </row>
        <row r="6">
          <cell r="J6">
            <v>0</v>
          </cell>
        </row>
      </sheetData>
      <sheetData sheetId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L3">
            <v>114.846271</v>
          </cell>
        </row>
        <row r="5">
          <cell r="L5">
            <v>122.197</v>
          </cell>
        </row>
        <row r="6">
          <cell r="L6">
            <v>0</v>
          </cell>
        </row>
      </sheetData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J3">
            <v>121.89977399999999</v>
          </cell>
        </row>
        <row r="5">
          <cell r="J5">
            <v>601.89099999999996</v>
          </cell>
        </row>
        <row r="6">
          <cell r="J6">
            <v>0.30099999999999999</v>
          </cell>
        </row>
      </sheetData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sabizabulin"/>
    </sheetNames>
    <sheetDataSet>
      <sheetData sheetId="0">
        <row r="3">
          <cell r="L3">
            <v>146.38391999999999</v>
          </cell>
        </row>
        <row r="5">
          <cell r="L5">
            <v>24.916284999999998</v>
          </cell>
        </row>
        <row r="6">
          <cell r="L6">
            <v>0</v>
          </cell>
        </row>
      </sheetData>
      <sheetData sheetId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ZN-c3"/>
    </sheetNames>
    <sheetDataSet>
      <sheetData sheetId="0">
        <row r="3">
          <cell r="K3">
            <v>57.069490999999999</v>
          </cell>
        </row>
        <row r="5">
          <cell r="K5">
            <v>449.76100000000002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</sheetNames>
    <sheetDataSet>
      <sheetData sheetId="0">
        <row r="3">
          <cell r="M3">
            <v>184.19892899999999</v>
          </cell>
        </row>
        <row r="5">
          <cell r="M5">
            <v>67.233999999999995</v>
          </cell>
        </row>
        <row r="6">
          <cell r="M6">
            <v>126.736</v>
          </cell>
        </row>
      </sheetData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6055.1507000000001</v>
          </cell>
        </row>
        <row r="5">
          <cell r="J5">
            <v>32321.154000000002</v>
          </cell>
        </row>
        <row r="6">
          <cell r="J6">
            <v>40.500999999999998</v>
          </cell>
        </row>
      </sheetData>
      <sheetData sheetId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K3">
            <v>18408.301708999999</v>
          </cell>
        </row>
        <row r="5">
          <cell r="K5">
            <v>40588.967999999993</v>
          </cell>
        </row>
        <row r="6">
          <cell r="K6">
            <v>9494.607</v>
          </cell>
        </row>
      </sheetData>
      <sheetData sheetId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4">
          <cell r="K4">
            <v>2672.3987109999998</v>
          </cell>
        </row>
        <row r="6">
          <cell r="K6">
            <v>13694</v>
          </cell>
        </row>
        <row r="7">
          <cell r="K7">
            <v>32574</v>
          </cell>
        </row>
      </sheetData>
      <sheetData sheetId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Tuoyi"/>
    </sheetNames>
    <sheetDataSet>
      <sheetData sheetId="0">
        <row r="4">
          <cell r="J4">
            <v>985.68987100000004</v>
          </cell>
        </row>
        <row r="6">
          <cell r="J6">
            <v>4668.6779999999999</v>
          </cell>
        </row>
        <row r="7">
          <cell r="J7">
            <v>1735.1849999999999</v>
          </cell>
        </row>
      </sheetData>
      <sheetData sheetId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J3">
            <v>4263.5283170000002</v>
          </cell>
        </row>
        <row r="5">
          <cell r="J5">
            <v>10082.542000000001</v>
          </cell>
        </row>
        <row r="6">
          <cell r="J6">
            <v>2347.1640000000002</v>
          </cell>
        </row>
      </sheetData>
      <sheetData sheetId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aplyta"/>
    </sheetNames>
    <sheetDataSet>
      <sheetData sheetId="0">
        <row r="3">
          <cell r="L3">
            <v>105.66692500000001</v>
          </cell>
        </row>
        <row r="5">
          <cell r="L5">
            <v>1024.6570000000002</v>
          </cell>
        </row>
        <row r="6">
          <cell r="L6">
            <v>0</v>
          </cell>
        </row>
      </sheetData>
      <sheetData sheetId="1"/>
      <sheetData sheetId="2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exicaserin"/>
    </sheetNames>
    <sheetDataSet>
      <sheetData sheetId="0">
        <row r="3">
          <cell r="K3">
            <v>38.899521</v>
          </cell>
        </row>
        <row r="5">
          <cell r="K5">
            <v>304.87299999999999</v>
          </cell>
        </row>
        <row r="6">
          <cell r="K6">
            <v>0</v>
          </cell>
        </row>
      </sheetData>
      <sheetData sheetId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3">
          <cell r="K3">
            <v>62.853999999999999</v>
          </cell>
        </row>
        <row r="5">
          <cell r="K5">
            <v>868.471</v>
          </cell>
        </row>
        <row r="6">
          <cell r="K6">
            <v>386.91399999999999</v>
          </cell>
        </row>
      </sheetData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irogacestat"/>
    </sheetNames>
    <sheetDataSet>
      <sheetData sheetId="0">
        <row r="3">
          <cell r="K3">
            <v>74.132811000000004</v>
          </cell>
        </row>
        <row r="5">
          <cell r="K5">
            <v>461.9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fruxifermin"/>
      <sheetName val="Model"/>
    </sheetNames>
    <sheetDataSet>
      <sheetData sheetId="0">
        <row r="3">
          <cell r="L3">
            <v>78.958608999999996</v>
          </cell>
        </row>
        <row r="5">
          <cell r="L5">
            <v>1106.2959999999998</v>
          </cell>
        </row>
        <row r="6">
          <cell r="L6">
            <v>35.122999999999998</v>
          </cell>
        </row>
      </sheetData>
      <sheetData sheetId="1"/>
      <sheetData sheetId="2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Empaveli"/>
      <sheetName val="Syfovre"/>
    </sheetNames>
    <sheetDataSet>
      <sheetData sheetId="0">
        <row r="3">
          <cell r="L3">
            <v>121.766328</v>
          </cell>
        </row>
        <row r="5">
          <cell r="L5">
            <v>360.08699999999999</v>
          </cell>
        </row>
        <row r="6">
          <cell r="L6">
            <v>456.83399999999995</v>
          </cell>
        </row>
      </sheetData>
      <sheetData sheetId="1"/>
      <sheetData sheetId="2"/>
      <sheetData sheetId="3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Vykat"/>
      <sheetName val="Model"/>
    </sheetNames>
    <sheetDataSet>
      <sheetData sheetId="0">
        <row r="3">
          <cell r="J3">
            <v>45.703811000000002</v>
          </cell>
        </row>
        <row r="5">
          <cell r="J5">
            <v>318.64800000000002</v>
          </cell>
        </row>
        <row r="6">
          <cell r="J6">
            <v>49.828000000000003</v>
          </cell>
        </row>
      </sheetData>
      <sheetData sheetId="1"/>
      <sheetData sheetId="2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zuranolone"/>
      <sheetName val="Model"/>
    </sheetNames>
    <sheetDataSet>
      <sheetData sheetId="0">
        <row r="3">
          <cell r="K3">
            <v>59.717607999999998</v>
          </cell>
        </row>
        <row r="5">
          <cell r="K5">
            <v>1272.4940000000001</v>
          </cell>
        </row>
        <row r="6">
          <cell r="K6">
            <v>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5A20BCEA-4C45-4B42-BEED-323725F9E7FF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5" dT="2026-01-20T19:36:30.88" personId="{5A20BCEA-4C45-4B42-BEED-323725F9E7FF}" id="{BD232633-B731-4006-BB3B-D8E129D440DC}">
    <text>Was 21.80</text>
  </threadedComment>
  <threadedComment ref="AF5" dT="2026-01-20T19:36:35.32" personId="{5A20BCEA-4C45-4B42-BEED-323725F9E7FF}" id="{04F78393-8EA9-40BC-8082-CEF6CFF97390}">
    <text>Was 29.66</text>
  </threadedComment>
  <threadedComment ref="AE6" dT="2026-01-20T19:40:24.91" personId="{5A20BCEA-4C45-4B42-BEED-323725F9E7FF}" id="{EC50C9E7-F3F1-43BE-86B0-43595A1C76D3}">
    <text>Was 10.61</text>
  </threadedComment>
  <threadedComment ref="AF6" dT="2026-01-20T19:40:32.29" personId="{5A20BCEA-4C45-4B42-BEED-323725F9E7FF}" id="{DACA8B84-EAD9-49E5-84E5-F0A33824FAEA}">
    <text>Was 11.10</text>
  </threadedComment>
  <threadedComment ref="AG6" dT="2026-01-20T19:40:39.78" personId="{5A20BCEA-4C45-4B42-BEED-323725F9E7FF}" id="{9A7DD5E2-25C3-4833-91F1-ECB38B53DB14}">
    <text>Was 11.44</text>
  </threadedComment>
  <threadedComment ref="AE7" dT="2026-01-20T19:39:16.35" personId="{5A20BCEA-4C45-4B42-BEED-323725F9E7FF}" id="{89FAACF6-CF87-4A8B-A24F-DA278EE9FD0C}">
    <text>Was 12.23</text>
  </threadedComment>
  <threadedComment ref="AF7" dT="2026-01-20T19:39:22.00" personId="{5A20BCEA-4C45-4B42-BEED-323725F9E7FF}" id="{4A64B629-8CF8-4133-9BEC-419A4B0F830E}">
    <text>Was 13.99</text>
  </threadedComment>
  <threadedComment ref="AL7" dT="2025-01-25T23:31:10.69" personId="{5A20BCEA-4C45-4B42-BEED-323725F9E7FF}" id="{CD1010F9-76B4-444F-8BE3-0C7F8D316EE9}">
    <text>1888 Abbott Labs, 2013 AbbVie</text>
  </threadedComment>
  <threadedComment ref="AL8" dT="2025-01-25T23:30:42.16" personId="{5A20BCEA-4C45-4B42-BEED-323725F9E7FF}" id="{B2572E6F-40CC-4FA7-9340-8AC8902D6330}">
    <text>Expropriated from Merck in Germany</text>
  </threadedComment>
  <threadedComment ref="AL9" dT="2025-01-25T23:31:27.11" personId="{5A20BCEA-4C45-4B42-BEED-323725F9E7FF}" id="{C7B21EC5-CCB1-4871-B59C-1D6C7B04AAA3}">
    <text>Merger created Novartis in 1996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Q71" dT="2024-11-04T17:11:24.64" personId="{5A20BCEA-4C45-4B42-BEED-323725F9E7FF}" id="{9B5FCE99-C9B8-4295-8DA9-A162B9AF1829}">
    <text>Not launched in US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7" dT="2024-10-05T01:59:23.04" personId="{5A20BCEA-4C45-4B42-BEED-323725F9E7FF}" id="{D92D9A65-014E-44BC-BD63-8FFD745601DC}">
    <text>Sanofi-Synthelabo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1323DD-95DC-4CA5-A445-1E1B2A90D285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BCRX.xlsx" TargetMode="External"/><Relationship Id="rId21" Type="http://schemas.openxmlformats.org/officeDocument/2006/relationships/hyperlink" Target="RVMD.xlsx" TargetMode="External"/><Relationship Id="rId42" Type="http://schemas.openxmlformats.org/officeDocument/2006/relationships/hyperlink" Target="ELEV.xlsx" TargetMode="External"/><Relationship Id="rId63" Type="http://schemas.openxmlformats.org/officeDocument/2006/relationships/hyperlink" Target="NVS.xlsx" TargetMode="External"/><Relationship Id="rId84" Type="http://schemas.openxmlformats.org/officeDocument/2006/relationships/hyperlink" Target="ATOS.xlsx" TargetMode="External"/><Relationship Id="rId138" Type="http://schemas.openxmlformats.org/officeDocument/2006/relationships/hyperlink" Target="PTGX.xlsx" TargetMode="External"/><Relationship Id="rId159" Type="http://schemas.openxmlformats.org/officeDocument/2006/relationships/hyperlink" Target="../Downloads/FDMT.xlsx" TargetMode="External"/><Relationship Id="rId170" Type="http://schemas.openxmlformats.org/officeDocument/2006/relationships/hyperlink" Target="../Downloads/GMAB.xlsx" TargetMode="External"/><Relationship Id="rId191" Type="http://schemas.openxmlformats.org/officeDocument/2006/relationships/hyperlink" Target="4568%20JP%20Daiichi%20Sankyo.xlsx" TargetMode="External"/><Relationship Id="rId205" Type="http://schemas.openxmlformats.org/officeDocument/2006/relationships/hyperlink" Target="ABCL.xlsx" TargetMode="External"/><Relationship Id="rId226" Type="http://schemas.openxmlformats.org/officeDocument/2006/relationships/hyperlink" Target="BMY.xlsx" TargetMode="External"/><Relationship Id="rId107" Type="http://schemas.openxmlformats.org/officeDocument/2006/relationships/hyperlink" Target="../Downloads/GPCR.xlsx" TargetMode="External"/><Relationship Id="rId11" Type="http://schemas.openxmlformats.org/officeDocument/2006/relationships/hyperlink" Target="RFL.xlsx" TargetMode="External"/><Relationship Id="rId32" Type="http://schemas.openxmlformats.org/officeDocument/2006/relationships/hyperlink" Target="NOVOB.xlsx" TargetMode="External"/><Relationship Id="rId53" Type="http://schemas.openxmlformats.org/officeDocument/2006/relationships/hyperlink" Target="TECX.xlsx" TargetMode="External"/><Relationship Id="rId74" Type="http://schemas.openxmlformats.org/officeDocument/2006/relationships/hyperlink" Target="../Downloads/BMEA.xlsx" TargetMode="External"/><Relationship Id="rId128" Type="http://schemas.openxmlformats.org/officeDocument/2006/relationships/hyperlink" Target="SLS.xlsx" TargetMode="External"/><Relationship Id="rId149" Type="http://schemas.openxmlformats.org/officeDocument/2006/relationships/hyperlink" Target="../Downloads/DCTH.xlsx" TargetMode="External"/><Relationship Id="rId5" Type="http://schemas.openxmlformats.org/officeDocument/2006/relationships/hyperlink" Target="ERAS.xlsx" TargetMode="External"/><Relationship Id="rId95" Type="http://schemas.openxmlformats.org/officeDocument/2006/relationships/hyperlink" Target="../Downloads/BHC.xlsx" TargetMode="External"/><Relationship Id="rId160" Type="http://schemas.openxmlformats.org/officeDocument/2006/relationships/hyperlink" Target="RXRX.xlsx" TargetMode="External"/><Relationship Id="rId181" Type="http://schemas.openxmlformats.org/officeDocument/2006/relationships/hyperlink" Target="../Downloads/AXSM.xlsx" TargetMode="External"/><Relationship Id="rId216" Type="http://schemas.openxmlformats.org/officeDocument/2006/relationships/hyperlink" Target="ACET.xlsx" TargetMode="External"/><Relationship Id="rId237" Type="http://schemas.openxmlformats.org/officeDocument/2006/relationships/hyperlink" Target="SDZ.xlsx" TargetMode="External"/><Relationship Id="rId22" Type="http://schemas.openxmlformats.org/officeDocument/2006/relationships/hyperlink" Target="IDYA.xlsx" TargetMode="External"/><Relationship Id="rId43" Type="http://schemas.openxmlformats.org/officeDocument/2006/relationships/hyperlink" Target="CMPS.xlsx" TargetMode="External"/><Relationship Id="rId64" Type="http://schemas.openxmlformats.org/officeDocument/2006/relationships/hyperlink" Target="NOVOB.xlsx" TargetMode="External"/><Relationship Id="rId118" Type="http://schemas.openxmlformats.org/officeDocument/2006/relationships/hyperlink" Target="../Downloads/4151%20JP.xlsx" TargetMode="External"/><Relationship Id="rId139" Type="http://schemas.openxmlformats.org/officeDocument/2006/relationships/hyperlink" Target="../Downloads/KRON.xlsx" TargetMode="External"/><Relationship Id="rId85" Type="http://schemas.openxmlformats.org/officeDocument/2006/relationships/hyperlink" Target="../Downloads/ARTV.xlsx" TargetMode="External"/><Relationship Id="rId150" Type="http://schemas.openxmlformats.org/officeDocument/2006/relationships/hyperlink" Target="UCB.xlsx" TargetMode="External"/><Relationship Id="rId171" Type="http://schemas.openxmlformats.org/officeDocument/2006/relationships/hyperlink" Target="RCKT.xlsx" TargetMode="External"/><Relationship Id="rId192" Type="http://schemas.openxmlformats.org/officeDocument/2006/relationships/hyperlink" Target="207940%20Samsung%20Biologics.xlsx" TargetMode="External"/><Relationship Id="rId206" Type="http://schemas.openxmlformats.org/officeDocument/2006/relationships/hyperlink" Target="VERU.xlsx" TargetMode="External"/><Relationship Id="rId227" Type="http://schemas.openxmlformats.org/officeDocument/2006/relationships/hyperlink" Target="CSL%20AU.xlsx" TargetMode="External"/><Relationship Id="rId12" Type="http://schemas.openxmlformats.org/officeDocument/2006/relationships/hyperlink" Target="EVMN.xlsx" TargetMode="External"/><Relationship Id="rId33" Type="http://schemas.openxmlformats.org/officeDocument/2006/relationships/hyperlink" Target="KALA.xlsx" TargetMode="External"/><Relationship Id="rId108" Type="http://schemas.openxmlformats.org/officeDocument/2006/relationships/hyperlink" Target="../Downloads/ESLA.xlsx" TargetMode="External"/><Relationship Id="rId129" Type="http://schemas.openxmlformats.org/officeDocument/2006/relationships/hyperlink" Target="../Downloads/EVO.xlsx" TargetMode="External"/><Relationship Id="rId54" Type="http://schemas.openxmlformats.org/officeDocument/2006/relationships/hyperlink" Target="KROS.xlsx" TargetMode="External"/><Relationship Id="rId75" Type="http://schemas.openxmlformats.org/officeDocument/2006/relationships/hyperlink" Target="DRUG.xlsx" TargetMode="External"/><Relationship Id="rId96" Type="http://schemas.openxmlformats.org/officeDocument/2006/relationships/hyperlink" Target="../Downloads/HLUN.xlsx" TargetMode="External"/><Relationship Id="rId140" Type="http://schemas.openxmlformats.org/officeDocument/2006/relationships/hyperlink" Target="../Downloads/ACRV.xlsx" TargetMode="External"/><Relationship Id="rId161" Type="http://schemas.openxmlformats.org/officeDocument/2006/relationships/hyperlink" Target="../Downloads/IRON.xlsx" TargetMode="External"/><Relationship Id="rId182" Type="http://schemas.openxmlformats.org/officeDocument/2006/relationships/hyperlink" Target="JAZZ.xlsx" TargetMode="External"/><Relationship Id="rId217" Type="http://schemas.openxmlformats.org/officeDocument/2006/relationships/hyperlink" Target="../../AppData/Roaming/OneDrive/Models%20Backup/TCON.xlsx" TargetMode="External"/><Relationship Id="rId6" Type="http://schemas.openxmlformats.org/officeDocument/2006/relationships/hyperlink" Target="../Downloads/EVO.xlsx" TargetMode="External"/><Relationship Id="rId238" Type="http://schemas.openxmlformats.org/officeDocument/2006/relationships/printerSettings" Target="../printerSettings/printerSettings1.bin"/><Relationship Id="rId23" Type="http://schemas.openxmlformats.org/officeDocument/2006/relationships/hyperlink" Target="ABVX.xlsx" TargetMode="External"/><Relationship Id="rId119" Type="http://schemas.openxmlformats.org/officeDocument/2006/relationships/hyperlink" Target="../Downloads/ADMA.xlsx" TargetMode="External"/><Relationship Id="rId44" Type="http://schemas.openxmlformats.org/officeDocument/2006/relationships/hyperlink" Target="DYN.xlsx" TargetMode="External"/><Relationship Id="rId65" Type="http://schemas.openxmlformats.org/officeDocument/2006/relationships/hyperlink" Target="SAN%20FP.xlsx" TargetMode="External"/><Relationship Id="rId86" Type="http://schemas.openxmlformats.org/officeDocument/2006/relationships/hyperlink" Target="QTTB.xlsx" TargetMode="External"/><Relationship Id="rId130" Type="http://schemas.openxmlformats.org/officeDocument/2006/relationships/hyperlink" Target="../Downloads/EQ.xlsx" TargetMode="External"/><Relationship Id="rId151" Type="http://schemas.openxmlformats.org/officeDocument/2006/relationships/hyperlink" Target="GSK.xlsx" TargetMode="External"/><Relationship Id="rId172" Type="http://schemas.openxmlformats.org/officeDocument/2006/relationships/hyperlink" Target="HALO.xlsx" TargetMode="External"/><Relationship Id="rId193" Type="http://schemas.openxmlformats.org/officeDocument/2006/relationships/hyperlink" Target="BAYN%20GY.xlsx" TargetMode="External"/><Relationship Id="rId207" Type="http://schemas.openxmlformats.org/officeDocument/2006/relationships/hyperlink" Target="VTRS.xlsx" TargetMode="External"/><Relationship Id="rId228" Type="http://schemas.openxmlformats.org/officeDocument/2006/relationships/hyperlink" Target="MRK%20GR.xlsx" TargetMode="External"/><Relationship Id="rId13" Type="http://schemas.openxmlformats.org/officeDocument/2006/relationships/hyperlink" Target="CELC.xlsx" TargetMode="External"/><Relationship Id="rId109" Type="http://schemas.openxmlformats.org/officeDocument/2006/relationships/hyperlink" Target="RARE.xlsx" TargetMode="External"/><Relationship Id="rId34" Type="http://schemas.openxmlformats.org/officeDocument/2006/relationships/hyperlink" Target="BLTE.xlsx" TargetMode="External"/><Relationship Id="rId55" Type="http://schemas.openxmlformats.org/officeDocument/2006/relationships/hyperlink" Target="ARVN.xlsx" TargetMode="External"/><Relationship Id="rId76" Type="http://schemas.openxmlformats.org/officeDocument/2006/relationships/hyperlink" Target="ALGS.xlsx" TargetMode="External"/><Relationship Id="rId97" Type="http://schemas.openxmlformats.org/officeDocument/2006/relationships/hyperlink" Target="../Downloads/TGTX.xlsx" TargetMode="External"/><Relationship Id="rId120" Type="http://schemas.openxmlformats.org/officeDocument/2006/relationships/hyperlink" Target="../Downloads/ORNBV.xlsx" TargetMode="External"/><Relationship Id="rId141" Type="http://schemas.openxmlformats.org/officeDocument/2006/relationships/hyperlink" Target="../Downloads/TRVI.xlsx" TargetMode="External"/><Relationship Id="rId7" Type="http://schemas.openxmlformats.org/officeDocument/2006/relationships/hyperlink" Target="AVBP.xlsx" TargetMode="External"/><Relationship Id="rId162" Type="http://schemas.openxmlformats.org/officeDocument/2006/relationships/hyperlink" Target="../Downloads/FREQ.xlsx" TargetMode="External"/><Relationship Id="rId183" Type="http://schemas.openxmlformats.org/officeDocument/2006/relationships/hyperlink" Target="ARGX.xlsx" TargetMode="External"/><Relationship Id="rId218" Type="http://schemas.openxmlformats.org/officeDocument/2006/relationships/hyperlink" Target="../../AppData/Roaming/Microsoft/Excel/LQDA.xlsx" TargetMode="External"/><Relationship Id="rId239" Type="http://schemas.openxmlformats.org/officeDocument/2006/relationships/vmlDrawing" Target="../drawings/vmlDrawing1.vml"/><Relationship Id="rId24" Type="http://schemas.openxmlformats.org/officeDocument/2006/relationships/hyperlink" Target="ABVX.xlsx" TargetMode="External"/><Relationship Id="rId45" Type="http://schemas.openxmlformats.org/officeDocument/2006/relationships/hyperlink" Target="XERS.xlsx" TargetMode="External"/><Relationship Id="rId66" Type="http://schemas.openxmlformats.org/officeDocument/2006/relationships/hyperlink" Target="../Downloads/VRDN.xlsx" TargetMode="External"/><Relationship Id="rId87" Type="http://schemas.openxmlformats.org/officeDocument/2006/relationships/hyperlink" Target="SANA.xlsx" TargetMode="External"/><Relationship Id="rId110" Type="http://schemas.openxmlformats.org/officeDocument/2006/relationships/hyperlink" Target="CYTK.xlsx" TargetMode="External"/><Relationship Id="rId131" Type="http://schemas.openxmlformats.org/officeDocument/2006/relationships/hyperlink" Target="../Downloads/RNA.xlsx" TargetMode="External"/><Relationship Id="rId152" Type="http://schemas.openxmlformats.org/officeDocument/2006/relationships/hyperlink" Target="../Downloads/SAVA.xlsx" TargetMode="External"/><Relationship Id="rId173" Type="http://schemas.openxmlformats.org/officeDocument/2006/relationships/hyperlink" Target="ARWR.xlsx" TargetMode="External"/><Relationship Id="rId194" Type="http://schemas.openxmlformats.org/officeDocument/2006/relationships/hyperlink" Target="4519%20Chugai.xlsx" TargetMode="External"/><Relationship Id="rId208" Type="http://schemas.openxmlformats.org/officeDocument/2006/relationships/hyperlink" Target="BGNE.xlsx" TargetMode="External"/><Relationship Id="rId229" Type="http://schemas.openxmlformats.org/officeDocument/2006/relationships/hyperlink" Target="LLY.xlsx" TargetMode="External"/><Relationship Id="rId240" Type="http://schemas.openxmlformats.org/officeDocument/2006/relationships/comments" Target="../comments1.xml"/><Relationship Id="rId14" Type="http://schemas.openxmlformats.org/officeDocument/2006/relationships/hyperlink" Target="CGEM.xlsx" TargetMode="External"/><Relationship Id="rId35" Type="http://schemas.openxmlformats.org/officeDocument/2006/relationships/hyperlink" Target="SGMT.xlsx" TargetMode="External"/><Relationship Id="rId56" Type="http://schemas.openxmlformats.org/officeDocument/2006/relationships/hyperlink" Target="INMB.xlsx" TargetMode="External"/><Relationship Id="rId77" Type="http://schemas.openxmlformats.org/officeDocument/2006/relationships/hyperlink" Target="../Downloads/VYGR.xlsx" TargetMode="External"/><Relationship Id="rId100" Type="http://schemas.openxmlformats.org/officeDocument/2006/relationships/hyperlink" Target="../Downloads/HUMA.xlsx" TargetMode="External"/><Relationship Id="rId8" Type="http://schemas.openxmlformats.org/officeDocument/2006/relationships/hyperlink" Target="MANE.xlsx" TargetMode="External"/><Relationship Id="rId98" Type="http://schemas.openxmlformats.org/officeDocument/2006/relationships/hyperlink" Target="../Downloads/FOLD.xlsx" TargetMode="External"/><Relationship Id="rId121" Type="http://schemas.openxmlformats.org/officeDocument/2006/relationships/hyperlink" Target="../Downloads/PRGO.xlsx" TargetMode="External"/><Relationship Id="rId142" Type="http://schemas.openxmlformats.org/officeDocument/2006/relationships/hyperlink" Target="PCVX.xlsx" TargetMode="External"/><Relationship Id="rId163" Type="http://schemas.openxmlformats.org/officeDocument/2006/relationships/hyperlink" Target="ASND.xlsx" TargetMode="External"/><Relationship Id="rId184" Type="http://schemas.openxmlformats.org/officeDocument/2006/relationships/hyperlink" Target="RPRX.xlsx" TargetMode="External"/><Relationship Id="rId219" Type="http://schemas.openxmlformats.org/officeDocument/2006/relationships/hyperlink" Target="4502%20Takeda.xlsx" TargetMode="External"/><Relationship Id="rId230" Type="http://schemas.openxmlformats.org/officeDocument/2006/relationships/hyperlink" Target="NVS.xlsx" TargetMode="External"/><Relationship Id="rId25" Type="http://schemas.openxmlformats.org/officeDocument/2006/relationships/hyperlink" Target="SPRB.xlsx" TargetMode="External"/><Relationship Id="rId46" Type="http://schemas.openxmlformats.org/officeDocument/2006/relationships/hyperlink" Target="APGE.xlsx" TargetMode="External"/><Relationship Id="rId67" Type="http://schemas.openxmlformats.org/officeDocument/2006/relationships/hyperlink" Target="../Downloads/SPRY.xlsx" TargetMode="External"/><Relationship Id="rId88" Type="http://schemas.openxmlformats.org/officeDocument/2006/relationships/hyperlink" Target="ACLX.xlsx" TargetMode="External"/><Relationship Id="rId111" Type="http://schemas.openxmlformats.org/officeDocument/2006/relationships/hyperlink" Target="CRVS.xlsx" TargetMode="External"/><Relationship Id="rId132" Type="http://schemas.openxmlformats.org/officeDocument/2006/relationships/hyperlink" Target="../Downloads/EYPT.xlsx" TargetMode="External"/><Relationship Id="rId153" Type="http://schemas.openxmlformats.org/officeDocument/2006/relationships/hyperlink" Target="../Downloads/ABEO.xlsx" TargetMode="External"/><Relationship Id="rId174" Type="http://schemas.openxmlformats.org/officeDocument/2006/relationships/hyperlink" Target="SRPT.xlsx" TargetMode="External"/><Relationship Id="rId195" Type="http://schemas.openxmlformats.org/officeDocument/2006/relationships/hyperlink" Target="../Downloads/EXAI.xlsx" TargetMode="External"/><Relationship Id="rId209" Type="http://schemas.openxmlformats.org/officeDocument/2006/relationships/hyperlink" Target="UTHR.xlsx" TargetMode="External"/><Relationship Id="rId220" Type="http://schemas.openxmlformats.org/officeDocument/2006/relationships/hyperlink" Target="REGN.xlsx" TargetMode="External"/><Relationship Id="rId241" Type="http://schemas.microsoft.com/office/2017/10/relationships/threadedComment" Target="../threadedComments/threadedComment1.xml"/><Relationship Id="rId15" Type="http://schemas.openxmlformats.org/officeDocument/2006/relationships/hyperlink" Target="IMTX.xlsx" TargetMode="External"/><Relationship Id="rId36" Type="http://schemas.openxmlformats.org/officeDocument/2006/relationships/hyperlink" Target="NKTR.xlsx" TargetMode="External"/><Relationship Id="rId57" Type="http://schemas.openxmlformats.org/officeDocument/2006/relationships/hyperlink" Target="TENX.xlsx" TargetMode="External"/><Relationship Id="rId106" Type="http://schemas.openxmlformats.org/officeDocument/2006/relationships/hyperlink" Target="../Downloads/SRRK.xlsx" TargetMode="External"/><Relationship Id="rId127" Type="http://schemas.openxmlformats.org/officeDocument/2006/relationships/hyperlink" Target="OGN.xlsx" TargetMode="External"/><Relationship Id="rId10" Type="http://schemas.openxmlformats.org/officeDocument/2006/relationships/hyperlink" Target="VERA.xlsx" TargetMode="External"/><Relationship Id="rId31" Type="http://schemas.openxmlformats.org/officeDocument/2006/relationships/hyperlink" Target="IMNM.xlsx" TargetMode="External"/><Relationship Id="rId52" Type="http://schemas.openxmlformats.org/officeDocument/2006/relationships/hyperlink" Target="GHRS.xlsx" TargetMode="External"/><Relationship Id="rId73" Type="http://schemas.openxmlformats.org/officeDocument/2006/relationships/hyperlink" Target="../Downloads/CADL.xlsx" TargetMode="External"/><Relationship Id="rId78" Type="http://schemas.openxmlformats.org/officeDocument/2006/relationships/hyperlink" Target="../Downloads/CABA.xlsx" TargetMode="External"/><Relationship Id="rId94" Type="http://schemas.openxmlformats.org/officeDocument/2006/relationships/hyperlink" Target="INSM.xlsx" TargetMode="External"/><Relationship Id="rId99" Type="http://schemas.openxmlformats.org/officeDocument/2006/relationships/hyperlink" Target="../Downloads/BBIO.xlsx" TargetMode="External"/><Relationship Id="rId101" Type="http://schemas.openxmlformats.org/officeDocument/2006/relationships/hyperlink" Target="../Downloads/NMRA.xlsx" TargetMode="External"/><Relationship Id="rId122" Type="http://schemas.openxmlformats.org/officeDocument/2006/relationships/hyperlink" Target="REPL.xlsx" TargetMode="External"/><Relationship Id="rId143" Type="http://schemas.openxmlformats.org/officeDocument/2006/relationships/hyperlink" Target="SMMT.xlsx" TargetMode="External"/><Relationship Id="rId148" Type="http://schemas.openxmlformats.org/officeDocument/2006/relationships/hyperlink" Target="VKTX.xlsx" TargetMode="External"/><Relationship Id="rId164" Type="http://schemas.openxmlformats.org/officeDocument/2006/relationships/hyperlink" Target="CRSP.xlsx" TargetMode="External"/><Relationship Id="rId169" Type="http://schemas.openxmlformats.org/officeDocument/2006/relationships/hyperlink" Target="GMAB.xlsx" TargetMode="External"/><Relationship Id="rId185" Type="http://schemas.openxmlformats.org/officeDocument/2006/relationships/hyperlink" Target="4503%20JP.xlsx" TargetMode="External"/><Relationship Id="rId4" Type="http://schemas.openxmlformats.org/officeDocument/2006/relationships/hyperlink" Target="CUE.xlsx" TargetMode="External"/><Relationship Id="rId9" Type="http://schemas.openxmlformats.org/officeDocument/2006/relationships/hyperlink" Target="TVRD.xlsx" TargetMode="External"/><Relationship Id="rId180" Type="http://schemas.openxmlformats.org/officeDocument/2006/relationships/hyperlink" Target="Sun%20Pharmaceutical.xlsx" TargetMode="External"/><Relationship Id="rId210" Type="http://schemas.openxmlformats.org/officeDocument/2006/relationships/hyperlink" Target="../../AppData/Roaming/OneDrive/Models%20Backup/BIOR.xlsx" TargetMode="External"/><Relationship Id="rId215" Type="http://schemas.openxmlformats.org/officeDocument/2006/relationships/hyperlink" Target="../../AppData/Roaming/OneDrive/Models%20Backup/PHAS.xlsx" TargetMode="External"/><Relationship Id="rId236" Type="http://schemas.openxmlformats.org/officeDocument/2006/relationships/hyperlink" Target="ALVO.xlsx" TargetMode="External"/><Relationship Id="rId26" Type="http://schemas.openxmlformats.org/officeDocument/2006/relationships/hyperlink" Target="OVID.xlsx" TargetMode="External"/><Relationship Id="rId231" Type="http://schemas.openxmlformats.org/officeDocument/2006/relationships/hyperlink" Target="ROG%20VX.xlsx" TargetMode="External"/><Relationship Id="rId47" Type="http://schemas.openxmlformats.org/officeDocument/2006/relationships/hyperlink" Target="GUTS.xlsx" TargetMode="External"/><Relationship Id="rId68" Type="http://schemas.openxmlformats.org/officeDocument/2006/relationships/hyperlink" Target="KYMR.xlsx" TargetMode="External"/><Relationship Id="rId89" Type="http://schemas.openxmlformats.org/officeDocument/2006/relationships/hyperlink" Target="MNPR.xlsx" TargetMode="External"/><Relationship Id="rId112" Type="http://schemas.openxmlformats.org/officeDocument/2006/relationships/hyperlink" Target="../Downloads/GOSS.xlsx" TargetMode="External"/><Relationship Id="rId133" Type="http://schemas.openxmlformats.org/officeDocument/2006/relationships/hyperlink" Target="MDGL.xlsx" TargetMode="External"/><Relationship Id="rId154" Type="http://schemas.openxmlformats.org/officeDocument/2006/relationships/hyperlink" Target="AZN.xlsx" TargetMode="External"/><Relationship Id="rId175" Type="http://schemas.openxmlformats.org/officeDocument/2006/relationships/hyperlink" Target="068270%20Celltrion.xlsx" TargetMode="External"/><Relationship Id="rId196" Type="http://schemas.openxmlformats.org/officeDocument/2006/relationships/hyperlink" Target="../Downloads/BEAM.xlsx" TargetMode="External"/><Relationship Id="rId200" Type="http://schemas.openxmlformats.org/officeDocument/2006/relationships/hyperlink" Target="MRNA.xlsx" TargetMode="External"/><Relationship Id="rId16" Type="http://schemas.openxmlformats.org/officeDocument/2006/relationships/hyperlink" Target="TCRX.xlsx" TargetMode="External"/><Relationship Id="rId221" Type="http://schemas.openxmlformats.org/officeDocument/2006/relationships/hyperlink" Target="INCY.xlsx" TargetMode="External"/><Relationship Id="rId37" Type="http://schemas.openxmlformats.org/officeDocument/2006/relationships/hyperlink" Target="RYTM.xlsx" TargetMode="External"/><Relationship Id="rId58" Type="http://schemas.openxmlformats.org/officeDocument/2006/relationships/hyperlink" Target="IMUX.xlsx" TargetMode="External"/><Relationship Id="rId79" Type="http://schemas.openxmlformats.org/officeDocument/2006/relationships/hyperlink" Target="../Downloads/LPTX.xlsx" TargetMode="External"/><Relationship Id="rId102" Type="http://schemas.openxmlformats.org/officeDocument/2006/relationships/hyperlink" Target="../Downloads/AMPH.xlsx" TargetMode="External"/><Relationship Id="rId123" Type="http://schemas.openxmlformats.org/officeDocument/2006/relationships/hyperlink" Target="../Downloads/NKTX.xlsx" TargetMode="External"/><Relationship Id="rId144" Type="http://schemas.openxmlformats.org/officeDocument/2006/relationships/hyperlink" Target="../Downloads/302440%20KS.xlsx" TargetMode="External"/><Relationship Id="rId90" Type="http://schemas.openxmlformats.org/officeDocument/2006/relationships/hyperlink" Target="TNXP.xlsx" TargetMode="External"/><Relationship Id="rId165" Type="http://schemas.openxmlformats.org/officeDocument/2006/relationships/hyperlink" Target="../Downloads/REC.xlsx" TargetMode="External"/><Relationship Id="rId186" Type="http://schemas.openxmlformats.org/officeDocument/2006/relationships/hyperlink" Target="BAX.xlsx" TargetMode="External"/><Relationship Id="rId211" Type="http://schemas.openxmlformats.org/officeDocument/2006/relationships/hyperlink" Target="../../AppData/Roaming/OneDrive/Models%20Backup/CVRX.xlsx" TargetMode="External"/><Relationship Id="rId232" Type="http://schemas.openxmlformats.org/officeDocument/2006/relationships/hyperlink" Target="PFE.xlsx" TargetMode="External"/><Relationship Id="rId27" Type="http://schemas.openxmlformats.org/officeDocument/2006/relationships/hyperlink" Target="MLTX.xlsx" TargetMode="External"/><Relationship Id="rId48" Type="http://schemas.openxmlformats.org/officeDocument/2006/relationships/hyperlink" Target="TARS.xlsx" TargetMode="External"/><Relationship Id="rId69" Type="http://schemas.openxmlformats.org/officeDocument/2006/relationships/hyperlink" Target="../Downloads/URGN.xlsx" TargetMode="External"/><Relationship Id="rId113" Type="http://schemas.openxmlformats.org/officeDocument/2006/relationships/hyperlink" Target="../Downloads/YMAB.xlsx" TargetMode="External"/><Relationship Id="rId134" Type="http://schemas.openxmlformats.org/officeDocument/2006/relationships/hyperlink" Target="../Downloads/NWBO.xlsx" TargetMode="External"/><Relationship Id="rId80" Type="http://schemas.openxmlformats.org/officeDocument/2006/relationships/hyperlink" Target="RZLT.xlsx" TargetMode="External"/><Relationship Id="rId155" Type="http://schemas.openxmlformats.org/officeDocument/2006/relationships/hyperlink" Target="IOVA.xlsx" TargetMode="External"/><Relationship Id="rId176" Type="http://schemas.openxmlformats.org/officeDocument/2006/relationships/hyperlink" Target="../Downloads/IONS.xlsx" TargetMode="External"/><Relationship Id="rId197" Type="http://schemas.openxmlformats.org/officeDocument/2006/relationships/hyperlink" Target="../Downloads/CYDY.xlsx" TargetMode="External"/><Relationship Id="rId201" Type="http://schemas.openxmlformats.org/officeDocument/2006/relationships/hyperlink" Target="../../AppData/Roaming/Microsoft/Excel/AVTX.xlsx" TargetMode="External"/><Relationship Id="rId222" Type="http://schemas.openxmlformats.org/officeDocument/2006/relationships/hyperlink" Target="VRTX.xlsx" TargetMode="External"/><Relationship Id="rId17" Type="http://schemas.openxmlformats.org/officeDocument/2006/relationships/hyperlink" Target="MAZE.xlsx" TargetMode="External"/><Relationship Id="rId38" Type="http://schemas.openxmlformats.org/officeDocument/2006/relationships/hyperlink" Target="ARQT.xlsx" TargetMode="External"/><Relationship Id="rId59" Type="http://schemas.openxmlformats.org/officeDocument/2006/relationships/hyperlink" Target="RVPH.xlsx" TargetMode="External"/><Relationship Id="rId103" Type="http://schemas.openxmlformats.org/officeDocument/2006/relationships/hyperlink" Target="NAMS.xlsx" TargetMode="External"/><Relationship Id="rId124" Type="http://schemas.openxmlformats.org/officeDocument/2006/relationships/hyperlink" Target="../Downloads/IPN%20FP.xlsx" TargetMode="External"/><Relationship Id="rId70" Type="http://schemas.openxmlformats.org/officeDocument/2006/relationships/hyperlink" Target="../Downloads/CHRS.xlsx" TargetMode="External"/><Relationship Id="rId91" Type="http://schemas.openxmlformats.org/officeDocument/2006/relationships/hyperlink" Target="../Downloads/ESPR.xlsx" TargetMode="External"/><Relationship Id="rId145" Type="http://schemas.openxmlformats.org/officeDocument/2006/relationships/hyperlink" Target="LEGN.xlsx" TargetMode="External"/><Relationship Id="rId166" Type="http://schemas.openxmlformats.org/officeDocument/2006/relationships/hyperlink" Target="4523%20JP.xlsx" TargetMode="External"/><Relationship Id="rId187" Type="http://schemas.openxmlformats.org/officeDocument/2006/relationships/hyperlink" Target="ALNY.xlsx" TargetMode="External"/><Relationship Id="rId1" Type="http://schemas.openxmlformats.org/officeDocument/2006/relationships/hyperlink" Target="GALD.xlsx" TargetMode="External"/><Relationship Id="rId212" Type="http://schemas.openxmlformats.org/officeDocument/2006/relationships/hyperlink" Target="../../AppData/Roaming/OneDrive/Models%20Backup/CPRX.xlsx" TargetMode="External"/><Relationship Id="rId233" Type="http://schemas.openxmlformats.org/officeDocument/2006/relationships/hyperlink" Target="MRK.xlsx" TargetMode="External"/><Relationship Id="rId28" Type="http://schemas.openxmlformats.org/officeDocument/2006/relationships/hyperlink" Target="LRMR.xlsx" TargetMode="External"/><Relationship Id="rId49" Type="http://schemas.openxmlformats.org/officeDocument/2006/relationships/hyperlink" Target="ABUS.xlsx" TargetMode="External"/><Relationship Id="rId114" Type="http://schemas.openxmlformats.org/officeDocument/2006/relationships/hyperlink" Target="../Downloads/APLT.xlsx" TargetMode="External"/><Relationship Id="rId60" Type="http://schemas.openxmlformats.org/officeDocument/2006/relationships/hyperlink" Target="4502%20Takeda.xlsx" TargetMode="External"/><Relationship Id="rId81" Type="http://schemas.openxmlformats.org/officeDocument/2006/relationships/hyperlink" Target="../Downloads/JANX.xlsx" TargetMode="External"/><Relationship Id="rId135" Type="http://schemas.openxmlformats.org/officeDocument/2006/relationships/hyperlink" Target="DAWN.xlsx" TargetMode="External"/><Relationship Id="rId156" Type="http://schemas.openxmlformats.org/officeDocument/2006/relationships/hyperlink" Target="../Downloads/LXRX.xlsx" TargetMode="External"/><Relationship Id="rId177" Type="http://schemas.openxmlformats.org/officeDocument/2006/relationships/hyperlink" Target="../Downloads/NTLA.xlsx" TargetMode="External"/><Relationship Id="rId198" Type="http://schemas.openxmlformats.org/officeDocument/2006/relationships/hyperlink" Target="../Downloads/ROIV.xlsx" TargetMode="External"/><Relationship Id="rId202" Type="http://schemas.openxmlformats.org/officeDocument/2006/relationships/hyperlink" Target="../Downloads/ALKS.xlsx" TargetMode="External"/><Relationship Id="rId223" Type="http://schemas.openxmlformats.org/officeDocument/2006/relationships/hyperlink" Target="GILD.xlsx" TargetMode="External"/><Relationship Id="rId18" Type="http://schemas.openxmlformats.org/officeDocument/2006/relationships/hyperlink" Target="AGIO.xlsx" TargetMode="External"/><Relationship Id="rId39" Type="http://schemas.openxmlformats.org/officeDocument/2006/relationships/hyperlink" Target="CRNX.xlsx" TargetMode="External"/><Relationship Id="rId50" Type="http://schemas.openxmlformats.org/officeDocument/2006/relationships/hyperlink" Target="PHAR.xlsx" TargetMode="External"/><Relationship Id="rId104" Type="http://schemas.openxmlformats.org/officeDocument/2006/relationships/hyperlink" Target="ATYR.xlsx" TargetMode="External"/><Relationship Id="rId125" Type="http://schemas.openxmlformats.org/officeDocument/2006/relationships/hyperlink" Target="../Downloads/XNCR.xlsx" TargetMode="External"/><Relationship Id="rId146" Type="http://schemas.openxmlformats.org/officeDocument/2006/relationships/hyperlink" Target="TEVA.xlsx" TargetMode="External"/><Relationship Id="rId167" Type="http://schemas.openxmlformats.org/officeDocument/2006/relationships/hyperlink" Target="GRFS.xlsx" TargetMode="External"/><Relationship Id="rId188" Type="http://schemas.openxmlformats.org/officeDocument/2006/relationships/hyperlink" Target="BMRN.xlsx" TargetMode="External"/><Relationship Id="rId71" Type="http://schemas.openxmlformats.org/officeDocument/2006/relationships/hyperlink" Target="../Downloads/KRYS.xlsx" TargetMode="External"/><Relationship Id="rId92" Type="http://schemas.openxmlformats.org/officeDocument/2006/relationships/hyperlink" Target="../Downloads/LNTH.xlsx" TargetMode="External"/><Relationship Id="rId213" Type="http://schemas.openxmlformats.org/officeDocument/2006/relationships/hyperlink" Target="../../AppData/Roaming/OneDrive/Models%20Backup/GRAY.xlsx" TargetMode="External"/><Relationship Id="rId234" Type="http://schemas.openxmlformats.org/officeDocument/2006/relationships/hyperlink" Target="JNJ.xlsx" TargetMode="External"/><Relationship Id="rId2" Type="http://schemas.openxmlformats.org/officeDocument/2006/relationships/hyperlink" Target="TYRA.xlsx" TargetMode="External"/><Relationship Id="rId29" Type="http://schemas.openxmlformats.org/officeDocument/2006/relationships/hyperlink" Target="ANIP.xlsx" TargetMode="External"/><Relationship Id="rId40" Type="http://schemas.openxmlformats.org/officeDocument/2006/relationships/hyperlink" Target="CAPR.xlsx" TargetMode="External"/><Relationship Id="rId115" Type="http://schemas.openxmlformats.org/officeDocument/2006/relationships/hyperlink" Target="../Downloads/PDSB.xlsx" TargetMode="External"/><Relationship Id="rId136" Type="http://schemas.openxmlformats.org/officeDocument/2006/relationships/hyperlink" Target="../Downloads/CLSD.xlsx" TargetMode="External"/><Relationship Id="rId157" Type="http://schemas.openxmlformats.org/officeDocument/2006/relationships/hyperlink" Target="DNLI.xlsx" TargetMode="External"/><Relationship Id="rId178" Type="http://schemas.openxmlformats.org/officeDocument/2006/relationships/hyperlink" Target="../Downloads/ZNTL.xlsx" TargetMode="External"/><Relationship Id="rId61" Type="http://schemas.openxmlformats.org/officeDocument/2006/relationships/hyperlink" Target="GSK.xlsx" TargetMode="External"/><Relationship Id="rId82" Type="http://schemas.openxmlformats.org/officeDocument/2006/relationships/hyperlink" Target="GALT.xlsx" TargetMode="External"/><Relationship Id="rId199" Type="http://schemas.openxmlformats.org/officeDocument/2006/relationships/hyperlink" Target="BNTX.xlsx" TargetMode="External"/><Relationship Id="rId203" Type="http://schemas.openxmlformats.org/officeDocument/2006/relationships/hyperlink" Target="../Downloads/HIK%20LN.xlsx" TargetMode="External"/><Relationship Id="rId19" Type="http://schemas.openxmlformats.org/officeDocument/2006/relationships/hyperlink" Target="TSHA.xlsx" TargetMode="External"/><Relationship Id="rId224" Type="http://schemas.openxmlformats.org/officeDocument/2006/relationships/hyperlink" Target="ABBV.xlsx" TargetMode="External"/><Relationship Id="rId30" Type="http://schemas.openxmlformats.org/officeDocument/2006/relationships/hyperlink" Target="PGEN.xlsx" TargetMode="External"/><Relationship Id="rId105" Type="http://schemas.openxmlformats.org/officeDocument/2006/relationships/hyperlink" Target="AMGN.xlsx" TargetMode="External"/><Relationship Id="rId126" Type="http://schemas.openxmlformats.org/officeDocument/2006/relationships/hyperlink" Target="../Downloads/NUVB.xlsx" TargetMode="External"/><Relationship Id="rId147" Type="http://schemas.openxmlformats.org/officeDocument/2006/relationships/hyperlink" Target="ACAD.xlsx" TargetMode="External"/><Relationship Id="rId168" Type="http://schemas.openxmlformats.org/officeDocument/2006/relationships/hyperlink" Target="EXEL.xlsx" TargetMode="External"/><Relationship Id="rId51" Type="http://schemas.openxmlformats.org/officeDocument/2006/relationships/hyperlink" Target="IVVD.xlsx" TargetMode="External"/><Relationship Id="rId72" Type="http://schemas.openxmlformats.org/officeDocument/2006/relationships/hyperlink" Target="ANAB.xlsx" TargetMode="External"/><Relationship Id="rId93" Type="http://schemas.openxmlformats.org/officeDocument/2006/relationships/hyperlink" Target="BHVN.xlsx" TargetMode="External"/><Relationship Id="rId189" Type="http://schemas.openxmlformats.org/officeDocument/2006/relationships/hyperlink" Target="BIIB.xlsx" TargetMode="External"/><Relationship Id="rId3" Type="http://schemas.openxmlformats.org/officeDocument/2006/relationships/hyperlink" Target="PRAX.xlsx" TargetMode="External"/><Relationship Id="rId214" Type="http://schemas.openxmlformats.org/officeDocument/2006/relationships/hyperlink" Target="MGTX.xlsx" TargetMode="External"/><Relationship Id="rId235" Type="http://schemas.openxmlformats.org/officeDocument/2006/relationships/hyperlink" Target="../Downloads/IBRX.xlsx" TargetMode="External"/><Relationship Id="rId116" Type="http://schemas.openxmlformats.org/officeDocument/2006/relationships/hyperlink" Target="../Downloads/KALV.xlsx" TargetMode="External"/><Relationship Id="rId137" Type="http://schemas.openxmlformats.org/officeDocument/2006/relationships/hyperlink" Target="../Downloads/EWTX.xlsx" TargetMode="External"/><Relationship Id="rId158" Type="http://schemas.openxmlformats.org/officeDocument/2006/relationships/hyperlink" Target="../Downloads/AMLX.xlsx" TargetMode="External"/><Relationship Id="rId20" Type="http://schemas.openxmlformats.org/officeDocument/2006/relationships/hyperlink" Target="OLMA.xlsx" TargetMode="External"/><Relationship Id="rId41" Type="http://schemas.openxmlformats.org/officeDocument/2006/relationships/hyperlink" Target="PROK.xlsx" TargetMode="External"/><Relationship Id="rId62" Type="http://schemas.openxmlformats.org/officeDocument/2006/relationships/hyperlink" Target="AZN.xlsx" TargetMode="External"/><Relationship Id="rId83" Type="http://schemas.openxmlformats.org/officeDocument/2006/relationships/hyperlink" Target="AVXL.xlsx" TargetMode="External"/><Relationship Id="rId179" Type="http://schemas.openxmlformats.org/officeDocument/2006/relationships/hyperlink" Target="4578%20Otsuka.xlsx" TargetMode="External"/><Relationship Id="rId190" Type="http://schemas.openxmlformats.org/officeDocument/2006/relationships/hyperlink" Target="NBIX.xlsx" TargetMode="External"/><Relationship Id="rId204" Type="http://schemas.openxmlformats.org/officeDocument/2006/relationships/hyperlink" Target="../../AppData/Roaming/Microsoft/Excel/SIGA.xlsx" TargetMode="External"/><Relationship Id="rId225" Type="http://schemas.openxmlformats.org/officeDocument/2006/relationships/hyperlink" Target="SAN%20FP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3692%20HK%20Hansoh.xlsx" TargetMode="External"/><Relationship Id="rId2" Type="http://schemas.openxmlformats.org/officeDocument/2006/relationships/hyperlink" Target="../Downloads/2196%20HK.xlsx" TargetMode="External"/><Relationship Id="rId1" Type="http://schemas.openxmlformats.org/officeDocument/2006/relationships/hyperlink" Target="../Downloads/2196%20HK.xlsx" TargetMode="External"/><Relationship Id="rId6" Type="http://schemas.openxmlformats.org/officeDocument/2006/relationships/hyperlink" Target="../Downloads/1877%20HK.xlsx" TargetMode="External"/><Relationship Id="rId5" Type="http://schemas.openxmlformats.org/officeDocument/2006/relationships/hyperlink" Target="../Downloads/1877%20HK.xlsx" TargetMode="External"/><Relationship Id="rId4" Type="http://schemas.openxmlformats.org/officeDocument/2006/relationships/hyperlink" Target="1177%20HK%20Sino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c.gov/edgar/browse/?CIK=1907884" TargetMode="External"/><Relationship Id="rId1" Type="http://schemas.openxmlformats.org/officeDocument/2006/relationships/hyperlink" Target="https://www.sec.gov/edgar/browse/?CIK=1920938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SWTX.xlsx" TargetMode="External"/><Relationship Id="rId13" Type="http://schemas.openxmlformats.org/officeDocument/2006/relationships/vmlDrawing" Target="../drawings/vmlDrawing3.vml"/><Relationship Id="rId3" Type="http://schemas.openxmlformats.org/officeDocument/2006/relationships/hyperlink" Target="../Downloads/2269%20HK%20WuXi%20Biologics.xlsx" TargetMode="External"/><Relationship Id="rId7" Type="http://schemas.openxmlformats.org/officeDocument/2006/relationships/hyperlink" Target="../Downloads/BPMC.xlsx" TargetMode="External"/><Relationship Id="rId12" Type="http://schemas.openxmlformats.org/officeDocument/2006/relationships/hyperlink" Target="../Downloads/SAGE.xlsx" TargetMode="External"/><Relationship Id="rId2" Type="http://schemas.openxmlformats.org/officeDocument/2006/relationships/hyperlink" Target="../Downloads/HZNP.xlsx" TargetMode="External"/><Relationship Id="rId1" Type="http://schemas.openxmlformats.org/officeDocument/2006/relationships/hyperlink" Target="../Downloads/SGEN.xlsx" TargetMode="External"/><Relationship Id="rId6" Type="http://schemas.openxmlformats.org/officeDocument/2006/relationships/hyperlink" Target="../Downloads/LBPH.xlsx" TargetMode="External"/><Relationship Id="rId11" Type="http://schemas.openxmlformats.org/officeDocument/2006/relationships/hyperlink" Target="SLNO.xlsx" TargetMode="External"/><Relationship Id="rId5" Type="http://schemas.openxmlformats.org/officeDocument/2006/relationships/hyperlink" Target="ITCI.xlsx" TargetMode="External"/><Relationship Id="rId15" Type="http://schemas.microsoft.com/office/2017/10/relationships/threadedComment" Target="../threadedComments/threadedComment3.xml"/><Relationship Id="rId10" Type="http://schemas.openxmlformats.org/officeDocument/2006/relationships/hyperlink" Target="../Downloads/APLS.xlsx" TargetMode="External"/><Relationship Id="rId4" Type="http://schemas.openxmlformats.org/officeDocument/2006/relationships/hyperlink" Target="../Downloads/KRTX.xlsx" TargetMode="External"/><Relationship Id="rId9" Type="http://schemas.openxmlformats.org/officeDocument/2006/relationships/hyperlink" Target="AKRO.xlsx" TargetMode="External"/><Relationship Id="rId1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AF13-821E-4BF9-92BC-DEDDF3C9498E}">
  <sheetPr codeName="Sheet1"/>
  <dimension ref="A1:KU594"/>
  <sheetViews>
    <sheetView tabSelected="1" zoomScale="160" zoomScaleNormal="160" workbookViewId="0">
      <pane xSplit="5" ySplit="3" topLeftCell="F4" activePane="bottomRight" state="frozen"/>
      <selection pane="topRight" activeCell="C1" sqref="C1"/>
      <selection pane="bottomLeft" activeCell="A4" sqref="A4"/>
      <selection pane="bottomRight" activeCell="H7" sqref="H7"/>
    </sheetView>
  </sheetViews>
  <sheetFormatPr defaultColWidth="9.1796875" defaultRowHeight="12.5" x14ac:dyDescent="0.25"/>
  <cols>
    <col min="1" max="3" width="2.453125" style="1" customWidth="1"/>
    <col min="4" max="4" width="4.1796875" style="1" bestFit="1" customWidth="1"/>
    <col min="5" max="5" width="20.81640625" style="1" customWidth="1"/>
    <col min="6" max="6" width="10.453125" style="1" bestFit="1" customWidth="1"/>
    <col min="7" max="7" width="12.1796875" style="3" customWidth="1"/>
    <col min="8" max="8" width="10.453125" style="3" bestFit="1" customWidth="1"/>
    <col min="9" max="10" width="9.1796875" style="3"/>
    <col min="11" max="11" width="8.453125" style="3" customWidth="1"/>
    <col min="12" max="12" width="7.453125" style="3" customWidth="1"/>
    <col min="13" max="13" width="10.453125" style="3" customWidth="1"/>
    <col min="14" max="14" width="11.7265625" style="3" bestFit="1" customWidth="1"/>
    <col min="15" max="18" width="9.1796875" style="3"/>
    <col min="19" max="22" width="0.453125" style="4" customWidth="1"/>
    <col min="23" max="23" width="7.453125" style="112" customWidth="1"/>
    <col min="24" max="27" width="7.453125" style="4" customWidth="1"/>
    <col min="28" max="28" width="7.453125" style="125" customWidth="1"/>
    <col min="29" max="37" width="7.453125" style="61" customWidth="1"/>
    <col min="38" max="40" width="9.1796875" style="1"/>
    <col min="41" max="43" width="9.1796875" style="3"/>
    <col min="44" max="177" width="9.1796875" style="1"/>
    <col min="178" max="191" width="10.08984375" style="1" bestFit="1" customWidth="1"/>
    <col min="192" max="192" width="10.08984375" style="1" customWidth="1"/>
    <col min="193" max="199" width="9.1796875" style="1"/>
    <col min="200" max="213" width="10.08984375" style="1" bestFit="1" customWidth="1"/>
    <col min="214" max="218" width="9.1796875" style="1"/>
    <col min="219" max="234" width="10.08984375" style="1" bestFit="1" customWidth="1"/>
    <col min="235" max="16384" width="9.1796875" style="1"/>
  </cols>
  <sheetData>
    <row r="1" spans="1:307" x14ac:dyDescent="0.25">
      <c r="W1" s="4"/>
      <c r="AB1" s="123"/>
      <c r="AC1" s="4"/>
      <c r="AD1" s="4"/>
      <c r="AE1" s="4"/>
      <c r="AF1" s="4"/>
      <c r="AG1" s="4"/>
      <c r="AH1" s="4"/>
      <c r="AI1" s="4"/>
      <c r="AJ1" s="4"/>
      <c r="AK1" s="4"/>
    </row>
    <row r="2" spans="1:307" x14ac:dyDescent="0.25">
      <c r="D2" s="1">
        <f ca="1">RANDBETWEEN(1,D304)</f>
        <v>198</v>
      </c>
      <c r="H2" s="6">
        <f>SUM(H5:H458)-H15-H12-H9-H23-H20-H26-H50-China!F17</f>
        <v>6139258.2344755549</v>
      </c>
      <c r="M2" s="9">
        <f>MIN(M5:M67)</f>
        <v>45540</v>
      </c>
      <c r="O2" s="10">
        <f>AVERAGE(O5:O36)</f>
        <v>-6.6630371127434196E-2</v>
      </c>
      <c r="S2" s="132" t="s">
        <v>308</v>
      </c>
      <c r="T2" s="132"/>
      <c r="U2" s="132"/>
      <c r="V2" s="132"/>
      <c r="W2" s="132"/>
      <c r="X2" s="132"/>
      <c r="Y2" s="132"/>
      <c r="Z2" s="132"/>
      <c r="AA2" s="132"/>
      <c r="AB2" s="133" t="s">
        <v>307</v>
      </c>
      <c r="AC2" s="132"/>
      <c r="AD2" s="132"/>
      <c r="AE2" s="132"/>
      <c r="AF2" s="132"/>
      <c r="AG2" s="132"/>
      <c r="AH2" s="132"/>
      <c r="AI2" s="132"/>
      <c r="AJ2" s="132"/>
      <c r="AK2" s="132"/>
      <c r="AO2" s="10">
        <f>AVERAGE(AO5:AO106)</f>
        <v>6.1854076016513229E-2</v>
      </c>
      <c r="AP2" s="10">
        <f>AVERAGE(AP5:AP106)</f>
        <v>4.4232656445335923E-2</v>
      </c>
      <c r="AQ2" s="10">
        <f>AVERAGE(AQ5:AQ106)</f>
        <v>4.5486891508553839E-2</v>
      </c>
      <c r="AR2" s="10">
        <f>AVERAGE(AR5:AR106)</f>
        <v>0.28833086543429232</v>
      </c>
    </row>
    <row r="3" spans="1:307" x14ac:dyDescent="0.25">
      <c r="B3" s="1" t="s">
        <v>1632</v>
      </c>
      <c r="C3" s="1" t="s">
        <v>1633</v>
      </c>
      <c r="E3" s="1" t="s">
        <v>1</v>
      </c>
      <c r="F3" s="1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1993</v>
      </c>
      <c r="L3" s="3" t="s">
        <v>296</v>
      </c>
      <c r="M3" s="3" t="s">
        <v>302</v>
      </c>
      <c r="N3" s="3" t="s">
        <v>309</v>
      </c>
      <c r="O3" s="3" t="s">
        <v>311</v>
      </c>
      <c r="P3" s="3" t="s">
        <v>312</v>
      </c>
      <c r="Q3" s="3" t="s">
        <v>313</v>
      </c>
      <c r="R3" s="3" t="s">
        <v>310</v>
      </c>
      <c r="S3" s="4">
        <v>2022</v>
      </c>
      <c r="T3" s="4">
        <v>2023</v>
      </c>
      <c r="U3" s="4">
        <v>2024</v>
      </c>
      <c r="V3" s="4">
        <v>2025</v>
      </c>
      <c r="W3" s="112">
        <v>2026</v>
      </c>
      <c r="X3" s="4">
        <v>2027</v>
      </c>
      <c r="Y3" s="4">
        <v>2028</v>
      </c>
      <c r="Z3" s="4">
        <v>2029</v>
      </c>
      <c r="AA3" s="4">
        <v>2030</v>
      </c>
      <c r="AB3" s="123">
        <v>2022</v>
      </c>
      <c r="AC3" s="4">
        <v>2023</v>
      </c>
      <c r="AD3" s="4">
        <v>2024</v>
      </c>
      <c r="AE3" s="4">
        <v>2025</v>
      </c>
      <c r="AF3" s="4">
        <v>2026</v>
      </c>
      <c r="AG3" s="4">
        <v>2027</v>
      </c>
      <c r="AH3" s="4">
        <v>2028</v>
      </c>
      <c r="AI3" s="4">
        <v>2029</v>
      </c>
      <c r="AJ3" s="4">
        <v>2030</v>
      </c>
      <c r="AK3" s="4">
        <v>2031</v>
      </c>
      <c r="AL3" s="1" t="s">
        <v>2</v>
      </c>
      <c r="AM3" s="1" t="s">
        <v>991</v>
      </c>
      <c r="AN3" s="1" t="s">
        <v>2044</v>
      </c>
      <c r="AO3" s="3" t="s">
        <v>2043</v>
      </c>
      <c r="AP3" s="27" t="s">
        <v>2045</v>
      </c>
      <c r="AQ3" s="27" t="s">
        <v>2047</v>
      </c>
      <c r="AR3" s="27" t="s">
        <v>2046</v>
      </c>
      <c r="AS3" s="1">
        <v>2025</v>
      </c>
      <c r="AT3" s="1">
        <v>2024</v>
      </c>
      <c r="AU3" s="1">
        <v>2023</v>
      </c>
      <c r="AV3">
        <v>2022</v>
      </c>
      <c r="AW3">
        <v>2021</v>
      </c>
      <c r="AX3">
        <v>2020</v>
      </c>
      <c r="BD3" s="121">
        <v>46199</v>
      </c>
      <c r="BE3" s="121">
        <f>+BD3-1</f>
        <v>46198</v>
      </c>
      <c r="BF3" s="121">
        <f>+BE3-1</f>
        <v>46197</v>
      </c>
      <c r="BG3" s="121">
        <f>+BF3-1</f>
        <v>46196</v>
      </c>
      <c r="BH3" s="121">
        <f>+BG3-1</f>
        <v>46195</v>
      </c>
      <c r="BI3" s="121">
        <v>46192</v>
      </c>
      <c r="BJ3" s="121">
        <f>+BH3-4</f>
        <v>46191</v>
      </c>
      <c r="BK3" s="121">
        <f>+BJ3-1</f>
        <v>46190</v>
      </c>
      <c r="BL3" s="121">
        <f>+BK3-1</f>
        <v>46189</v>
      </c>
      <c r="BM3" s="121">
        <f>+BL3-1</f>
        <v>46188</v>
      </c>
      <c r="BN3" s="121">
        <f>+BM3-3</f>
        <v>46185</v>
      </c>
      <c r="BO3" s="121">
        <f>+BN3-1</f>
        <v>46184</v>
      </c>
      <c r="BP3" s="121">
        <f>+BO3-1</f>
        <v>46183</v>
      </c>
      <c r="BQ3" s="121">
        <f>+BP3-1</f>
        <v>46182</v>
      </c>
      <c r="BR3" s="121">
        <f>+BQ3-1</f>
        <v>46181</v>
      </c>
      <c r="BS3" s="121">
        <f>+BR3-3</f>
        <v>46178</v>
      </c>
      <c r="BT3" s="121">
        <f>+BS3-1</f>
        <v>46177</v>
      </c>
      <c r="BU3" s="121">
        <f>+BT3-1</f>
        <v>46176</v>
      </c>
      <c r="BV3" s="121">
        <f>+BU3-1</f>
        <v>46175</v>
      </c>
      <c r="BW3" s="121">
        <f>+BV3-1</f>
        <v>46174</v>
      </c>
      <c r="BX3" s="121">
        <f>+BW3-3</f>
        <v>46171</v>
      </c>
      <c r="BY3" s="121">
        <f>+BX3-1</f>
        <v>46170</v>
      </c>
      <c r="BZ3" s="121">
        <f>+BY3-1</f>
        <v>46169</v>
      </c>
      <c r="CA3" s="121">
        <f>+BZ3-1</f>
        <v>46168</v>
      </c>
      <c r="CB3" s="121">
        <f>+CA3-4</f>
        <v>46164</v>
      </c>
      <c r="CC3" s="121">
        <f>+CB3-1</f>
        <v>46163</v>
      </c>
      <c r="CD3" s="121">
        <f>+CC3-1</f>
        <v>46162</v>
      </c>
      <c r="CE3" s="121">
        <f>+CD3-1</f>
        <v>46161</v>
      </c>
      <c r="CF3" s="121">
        <f>+CE3-1</f>
        <v>46160</v>
      </c>
      <c r="CG3" s="121">
        <f>+CF3-3</f>
        <v>46157</v>
      </c>
      <c r="CH3" s="121">
        <f>+CG3-1</f>
        <v>46156</v>
      </c>
      <c r="CI3" s="121">
        <f>+CH3-1</f>
        <v>46155</v>
      </c>
      <c r="CJ3" s="121">
        <f>+CI3-1</f>
        <v>46154</v>
      </c>
      <c r="CK3" s="121">
        <f>+CJ3-1</f>
        <v>46153</v>
      </c>
      <c r="CL3" s="121">
        <f>+CK3-3</f>
        <v>46150</v>
      </c>
      <c r="CM3" s="121">
        <f>+CL3-1</f>
        <v>46149</v>
      </c>
      <c r="CN3" s="121">
        <f>+CM3-1</f>
        <v>46148</v>
      </c>
      <c r="CO3" s="121">
        <f>+CN3-1</f>
        <v>46147</v>
      </c>
      <c r="CP3" s="121">
        <f>+CO3-1</f>
        <v>46146</v>
      </c>
      <c r="CQ3" s="121">
        <f>+CP3-3</f>
        <v>46143</v>
      </c>
      <c r="CR3" s="121">
        <f>+CQ3-1</f>
        <v>46142</v>
      </c>
      <c r="CS3" s="121">
        <f>+CR3-1</f>
        <v>46141</v>
      </c>
      <c r="CT3" s="121">
        <f>+CS3-1</f>
        <v>46140</v>
      </c>
      <c r="CU3" s="121">
        <f>+CT3-1</f>
        <v>46139</v>
      </c>
      <c r="CV3" s="121">
        <f>+CU3-3</f>
        <v>46136</v>
      </c>
      <c r="CW3" s="121">
        <f>+CV3-1</f>
        <v>46135</v>
      </c>
      <c r="CX3" s="121">
        <f>+CW3-1</f>
        <v>46134</v>
      </c>
      <c r="CY3" s="121">
        <f>+CX3-1</f>
        <v>46133</v>
      </c>
      <c r="CZ3" s="121">
        <f>+CY3-1</f>
        <v>46132</v>
      </c>
      <c r="DA3" s="121">
        <f>+CZ3-3</f>
        <v>46129</v>
      </c>
      <c r="DB3" s="121">
        <f>+DA3-1</f>
        <v>46128</v>
      </c>
      <c r="DC3" s="121">
        <f>+DB3-1</f>
        <v>46127</v>
      </c>
      <c r="DD3" s="121">
        <f>+DC3-1</f>
        <v>46126</v>
      </c>
      <c r="DE3" s="121">
        <f>+DD3-1</f>
        <v>46125</v>
      </c>
      <c r="DF3" s="121">
        <f>+DE3-3</f>
        <v>46122</v>
      </c>
      <c r="DG3" s="121">
        <f>+DF3-1</f>
        <v>46121</v>
      </c>
      <c r="DH3" s="121">
        <f>+DG3-1</f>
        <v>46120</v>
      </c>
      <c r="DI3" s="121">
        <f>+DH3-1</f>
        <v>46119</v>
      </c>
      <c r="DJ3" s="121">
        <f>+DI3-1</f>
        <v>46118</v>
      </c>
      <c r="DK3" s="121">
        <f>+DJ3-4</f>
        <v>46114</v>
      </c>
      <c r="DL3" s="121">
        <f>+DK3-1</f>
        <v>46113</v>
      </c>
      <c r="DM3" s="121">
        <f>+DL3-1</f>
        <v>46112</v>
      </c>
      <c r="DN3" s="121">
        <f>+DM3-1</f>
        <v>46111</v>
      </c>
      <c r="DO3" s="121">
        <f>+DN3-3</f>
        <v>46108</v>
      </c>
      <c r="DP3" s="121">
        <f>+DO3-1</f>
        <v>46107</v>
      </c>
      <c r="DQ3" s="121">
        <f>+DP3-1</f>
        <v>46106</v>
      </c>
      <c r="DR3" s="121">
        <f>+DQ3-1</f>
        <v>46105</v>
      </c>
      <c r="DS3" s="121">
        <f>+DR3-1</f>
        <v>46104</v>
      </c>
      <c r="DT3" s="121">
        <f>+DS3-3</f>
        <v>46101</v>
      </c>
      <c r="DU3" s="121">
        <f>+DT3-1</f>
        <v>46100</v>
      </c>
      <c r="DV3" s="121">
        <f>+DU3-1</f>
        <v>46099</v>
      </c>
      <c r="DW3" s="121">
        <f>+DV3-1</f>
        <v>46098</v>
      </c>
      <c r="DX3" s="121">
        <f>+DW3-1</f>
        <v>46097</v>
      </c>
      <c r="DY3" s="121">
        <f>+DX3-3</f>
        <v>46094</v>
      </c>
      <c r="DZ3" s="121">
        <f>+DY3-1</f>
        <v>46093</v>
      </c>
      <c r="EA3" s="121">
        <f>+DZ3-1</f>
        <v>46092</v>
      </c>
      <c r="EB3" s="121">
        <f>+EA3-1</f>
        <v>46091</v>
      </c>
      <c r="EC3" s="121">
        <f>+EB3-1</f>
        <v>46090</v>
      </c>
      <c r="ED3" s="121">
        <f>+EC3-3</f>
        <v>46087</v>
      </c>
      <c r="EE3" s="121">
        <f>+ED3-1</f>
        <v>46086</v>
      </c>
      <c r="EF3" s="121">
        <f>+EE3-1</f>
        <v>46085</v>
      </c>
      <c r="EG3" s="121">
        <f>+EF3-1</f>
        <v>46084</v>
      </c>
      <c r="EH3" s="121">
        <f>+EG3-1</f>
        <v>46083</v>
      </c>
      <c r="EI3" s="121">
        <f>+EH3-3</f>
        <v>46080</v>
      </c>
      <c r="EJ3" s="121">
        <f>+EI3-1</f>
        <v>46079</v>
      </c>
      <c r="EK3" s="121">
        <f>+EJ3-1</f>
        <v>46078</v>
      </c>
      <c r="EL3" s="121">
        <f>+EK3-1</f>
        <v>46077</v>
      </c>
      <c r="EM3" s="121">
        <f>+EL3-1</f>
        <v>46076</v>
      </c>
      <c r="EN3" s="121">
        <f>+EM3-3</f>
        <v>46073</v>
      </c>
      <c r="EO3" s="121">
        <f>+EN3-1</f>
        <v>46072</v>
      </c>
      <c r="EP3" s="121">
        <f>+EO3-1</f>
        <v>46071</v>
      </c>
      <c r="EQ3" s="121">
        <f>+EP3-1</f>
        <v>46070</v>
      </c>
      <c r="ER3" s="121">
        <f>+EQ3-4</f>
        <v>46066</v>
      </c>
      <c r="ES3" s="121">
        <f>+ER3-1</f>
        <v>46065</v>
      </c>
      <c r="ET3" s="121">
        <f>+ES3-1</f>
        <v>46064</v>
      </c>
      <c r="EU3" s="121">
        <f>+ET3-1</f>
        <v>46063</v>
      </c>
      <c r="EV3" s="121">
        <f>+EU3-1</f>
        <v>46062</v>
      </c>
      <c r="EW3" s="121">
        <f>+EV3-3</f>
        <v>46059</v>
      </c>
      <c r="EX3" s="121">
        <f>+EW3-1</f>
        <v>46058</v>
      </c>
      <c r="EY3" s="121">
        <f>+EX3-1</f>
        <v>46057</v>
      </c>
      <c r="EZ3" s="121">
        <f>+EY3-1</f>
        <v>46056</v>
      </c>
      <c r="FA3" s="121">
        <f>+EZ3-1</f>
        <v>46055</v>
      </c>
      <c r="FB3" s="121">
        <f>+FA3-3</f>
        <v>46052</v>
      </c>
      <c r="FC3" s="121">
        <f>+FB3-1</f>
        <v>46051</v>
      </c>
      <c r="FD3" s="121">
        <f>+FC3-1</f>
        <v>46050</v>
      </c>
      <c r="FE3" s="121">
        <f>+FD3-1</f>
        <v>46049</v>
      </c>
      <c r="FF3" s="121">
        <f>+FE3-1</f>
        <v>46048</v>
      </c>
      <c r="FG3" s="121">
        <f>+FF3-3</f>
        <v>46045</v>
      </c>
      <c r="FH3" s="121">
        <f>+FG3-1</f>
        <v>46044</v>
      </c>
      <c r="FI3" s="121">
        <f>+FH3-1</f>
        <v>46043</v>
      </c>
      <c r="FJ3" s="121">
        <f>+FI3-1</f>
        <v>46042</v>
      </c>
      <c r="FK3" s="121">
        <f>+FJ3-4</f>
        <v>46038</v>
      </c>
      <c r="FL3" s="121">
        <f>+FK3-1</f>
        <v>46037</v>
      </c>
      <c r="FM3" s="121">
        <f>+FL3-1</f>
        <v>46036</v>
      </c>
      <c r="FN3" s="121">
        <f>+FM3-1</f>
        <v>46035</v>
      </c>
      <c r="FO3" s="121">
        <f>+FN3-1</f>
        <v>46034</v>
      </c>
      <c r="FP3" s="121">
        <f>+FO3-3</f>
        <v>46031</v>
      </c>
      <c r="FQ3" s="121">
        <f>+FP3-1</f>
        <v>46030</v>
      </c>
      <c r="FR3" s="121">
        <f>+FQ3-1</f>
        <v>46029</v>
      </c>
      <c r="FS3" s="121">
        <f>+FR3-1</f>
        <v>46028</v>
      </c>
      <c r="FT3" s="121">
        <f>+FS3-1</f>
        <v>46027</v>
      </c>
      <c r="FU3" s="121">
        <f>+FT3-3</f>
        <v>46024</v>
      </c>
      <c r="FV3" s="121">
        <f>FU3-2</f>
        <v>46022</v>
      </c>
      <c r="FW3" s="121">
        <f>+FV3-1</f>
        <v>46021</v>
      </c>
      <c r="FX3" s="121">
        <f>+FW3-1</f>
        <v>46020</v>
      </c>
      <c r="FY3" s="121">
        <f>+FX3-3</f>
        <v>46017</v>
      </c>
      <c r="FZ3" s="121">
        <f>+FY3-2</f>
        <v>46015</v>
      </c>
      <c r="GA3" s="121">
        <f>+FZ3-1</f>
        <v>46014</v>
      </c>
      <c r="GB3" s="121">
        <f>+GA3-1</f>
        <v>46013</v>
      </c>
      <c r="GC3" s="121">
        <f>+GB3-3</f>
        <v>46010</v>
      </c>
      <c r="GD3" s="121">
        <f>+GC3-1</f>
        <v>46009</v>
      </c>
      <c r="GE3" s="121">
        <f>+GD3-1</f>
        <v>46008</v>
      </c>
      <c r="GF3" s="121">
        <f>+GE3-1</f>
        <v>46007</v>
      </c>
      <c r="GG3" s="121">
        <f>+GF3-1</f>
        <v>46006</v>
      </c>
      <c r="GH3" s="121">
        <f>+GG3-3</f>
        <v>46003</v>
      </c>
      <c r="GI3" s="121">
        <f>+GH3-1</f>
        <v>46002</v>
      </c>
      <c r="GJ3" s="121">
        <f>+GI3-1</f>
        <v>46001</v>
      </c>
      <c r="GK3" s="121">
        <f>+GJ3-1</f>
        <v>46000</v>
      </c>
      <c r="GL3" s="121">
        <f>+GK3-1</f>
        <v>45999</v>
      </c>
      <c r="GM3" s="121">
        <f>+GL3-3</f>
        <v>45996</v>
      </c>
      <c r="GN3" s="121">
        <f>+GM3-1</f>
        <v>45995</v>
      </c>
      <c r="GO3" s="121">
        <f>+GN3-1</f>
        <v>45994</v>
      </c>
      <c r="GP3" s="121">
        <f>+GO3-1</f>
        <v>45993</v>
      </c>
      <c r="GQ3" s="121">
        <f>+GP3-1</f>
        <v>45992</v>
      </c>
      <c r="GR3" s="121">
        <f>+GQ3-3</f>
        <v>45989</v>
      </c>
      <c r="GS3" s="121">
        <f>+GR3-2</f>
        <v>45987</v>
      </c>
      <c r="GT3" s="121">
        <f>+GS3-1</f>
        <v>45986</v>
      </c>
      <c r="GU3" s="121">
        <f>+GT3-1</f>
        <v>45985</v>
      </c>
      <c r="GV3" s="121">
        <f>+GU3-3</f>
        <v>45982</v>
      </c>
      <c r="GW3" s="121">
        <f>+GV3-1</f>
        <v>45981</v>
      </c>
      <c r="GX3" s="121">
        <f>+GW3-1</f>
        <v>45980</v>
      </c>
      <c r="GY3" s="121">
        <f>+GX3-1</f>
        <v>45979</v>
      </c>
      <c r="GZ3" s="121">
        <f>+GY3-1</f>
        <v>45978</v>
      </c>
      <c r="HA3" s="121">
        <f>+GZ3-3</f>
        <v>45975</v>
      </c>
      <c r="HB3" s="121">
        <f>+HA3-1</f>
        <v>45974</v>
      </c>
      <c r="HC3" s="121">
        <f>+HB3-1</f>
        <v>45973</v>
      </c>
      <c r="HD3" s="121">
        <f>+HC3-1</f>
        <v>45972</v>
      </c>
      <c r="HE3" s="121">
        <f>+HD3-1</f>
        <v>45971</v>
      </c>
      <c r="HF3" s="121">
        <f>HE3-3</f>
        <v>45968</v>
      </c>
      <c r="HG3" s="121">
        <f>+HF3-1</f>
        <v>45967</v>
      </c>
      <c r="HH3" s="121">
        <f>+HG3-1</f>
        <v>45966</v>
      </c>
      <c r="HI3" s="121">
        <f>+HH3-1</f>
        <v>45965</v>
      </c>
      <c r="HJ3" s="121">
        <f>+HI3-1</f>
        <v>45964</v>
      </c>
      <c r="HK3" s="121">
        <f>+HJ3-3</f>
        <v>45961</v>
      </c>
      <c r="HL3" s="121">
        <f>+HK3-1</f>
        <v>45960</v>
      </c>
      <c r="HM3" s="121">
        <f>+HL3-1</f>
        <v>45959</v>
      </c>
      <c r="HN3" s="121">
        <f>+HM3-1</f>
        <v>45958</v>
      </c>
      <c r="HO3" s="121">
        <f>+HN3-1</f>
        <v>45957</v>
      </c>
      <c r="HP3" s="121">
        <f>+HO3-3</f>
        <v>45954</v>
      </c>
      <c r="HQ3" s="121">
        <f>+HP3-1</f>
        <v>45953</v>
      </c>
      <c r="HR3" s="121">
        <f>+HQ3-1</f>
        <v>45952</v>
      </c>
      <c r="HS3" s="121">
        <f>+HR3-1</f>
        <v>45951</v>
      </c>
      <c r="HT3" s="121">
        <f>+HS3-1</f>
        <v>45950</v>
      </c>
      <c r="HU3" s="121">
        <f>+HT3-3</f>
        <v>45947</v>
      </c>
      <c r="HV3" s="121">
        <f>+HU3-1</f>
        <v>45946</v>
      </c>
      <c r="HW3" s="121">
        <f>+HV3-1</f>
        <v>45945</v>
      </c>
      <c r="HX3" s="121">
        <f>+HW3-1</f>
        <v>45944</v>
      </c>
      <c r="HY3" s="121">
        <f>+HX3-1</f>
        <v>45943</v>
      </c>
      <c r="HZ3" s="121">
        <f>+HY3-3</f>
        <v>45940</v>
      </c>
      <c r="IA3" s="121">
        <f>+HZ3-1</f>
        <v>45939</v>
      </c>
      <c r="IB3" s="121">
        <f>+IA3-1</f>
        <v>45938</v>
      </c>
      <c r="IC3" s="121">
        <f>+IB3-1</f>
        <v>45937</v>
      </c>
      <c r="ID3" s="121">
        <f>+IC3-1</f>
        <v>45936</v>
      </c>
      <c r="IE3" s="121">
        <f>+ID3-3</f>
        <v>45933</v>
      </c>
      <c r="IF3" s="121">
        <f>+IE3-1</f>
        <v>45932</v>
      </c>
      <c r="IG3" s="121">
        <f>+IF3-1</f>
        <v>45931</v>
      </c>
      <c r="IH3" s="121">
        <f>+IG3-1</f>
        <v>45930</v>
      </c>
      <c r="II3" s="121">
        <f>+IH3-1</f>
        <v>45929</v>
      </c>
      <c r="IJ3" s="121">
        <f>+II3-3</f>
        <v>45926</v>
      </c>
      <c r="IK3" s="121">
        <f>+IJ3-1</f>
        <v>45925</v>
      </c>
      <c r="IL3" s="121">
        <f>+IK3-1</f>
        <v>45924</v>
      </c>
      <c r="IM3" s="121">
        <f>+IL3-1</f>
        <v>45923</v>
      </c>
      <c r="IN3" s="121">
        <f>+IM3-1</f>
        <v>45922</v>
      </c>
      <c r="IO3" s="121">
        <f>+IN3-3</f>
        <v>45919</v>
      </c>
      <c r="IP3" s="121">
        <f>+IO3-1</f>
        <v>45918</v>
      </c>
      <c r="IQ3" s="121">
        <f>+IP3-1</f>
        <v>45917</v>
      </c>
      <c r="IR3" s="121">
        <f>+IQ3-1</f>
        <v>45916</v>
      </c>
      <c r="IS3" s="121">
        <f>+IR3-1</f>
        <v>45915</v>
      </c>
      <c r="IT3" s="121">
        <f>+IS3-3</f>
        <v>45912</v>
      </c>
      <c r="IU3" s="121">
        <f>+IT3-1</f>
        <v>45911</v>
      </c>
      <c r="IV3" s="121">
        <f>+IU3-1</f>
        <v>45910</v>
      </c>
      <c r="IW3" s="121">
        <f>+IV3-1</f>
        <v>45909</v>
      </c>
      <c r="IX3" s="121">
        <f>+IW3-1</f>
        <v>45908</v>
      </c>
      <c r="IY3" s="121">
        <f>+IX3-3</f>
        <v>45905</v>
      </c>
      <c r="IZ3" s="121">
        <f>+IY3-1</f>
        <v>45904</v>
      </c>
      <c r="JA3" s="121">
        <f>+IZ3-1</f>
        <v>45903</v>
      </c>
      <c r="JB3" s="121">
        <f>+JA3-1</f>
        <v>45902</v>
      </c>
      <c r="JC3" s="121">
        <f>+JB3-4</f>
        <v>45898</v>
      </c>
      <c r="JD3" s="121">
        <f>+JC3-1</f>
        <v>45897</v>
      </c>
      <c r="JE3" s="121">
        <f>+JD3-1</f>
        <v>45896</v>
      </c>
      <c r="JF3" s="121">
        <f>+JE3-1</f>
        <v>45895</v>
      </c>
      <c r="JG3" s="121">
        <f>+JF3-1</f>
        <v>45894</v>
      </c>
      <c r="JH3" s="121">
        <f>+JG3-3</f>
        <v>45891</v>
      </c>
      <c r="JI3" s="121">
        <f>+JH3-1</f>
        <v>45890</v>
      </c>
      <c r="JJ3" s="121">
        <f>+JI3-1</f>
        <v>45889</v>
      </c>
      <c r="JK3" s="121">
        <f>+JJ3-1</f>
        <v>45888</v>
      </c>
      <c r="JL3" s="121">
        <f>+JK3-1</f>
        <v>45887</v>
      </c>
      <c r="JM3" s="121">
        <f>+JL3-3</f>
        <v>45884</v>
      </c>
      <c r="JN3" s="121">
        <f>+JM3-1</f>
        <v>45883</v>
      </c>
      <c r="JO3" s="121">
        <f>+JN3-1</f>
        <v>45882</v>
      </c>
      <c r="JP3" s="121">
        <f>+JO3-1</f>
        <v>45881</v>
      </c>
      <c r="JQ3" s="121">
        <f>+JP3-1</f>
        <v>45880</v>
      </c>
      <c r="JR3" s="121">
        <f>+JQ3-3</f>
        <v>45877</v>
      </c>
      <c r="JS3" s="121">
        <f>+JR3-1</f>
        <v>45876</v>
      </c>
      <c r="JT3" s="121">
        <f>+JS3-1</f>
        <v>45875</v>
      </c>
      <c r="JU3" s="121">
        <f>+JT3-1</f>
        <v>45874</v>
      </c>
      <c r="JV3" s="121">
        <f>+JU3-1</f>
        <v>45873</v>
      </c>
      <c r="JW3" s="121">
        <f>+JV3-3</f>
        <v>45870</v>
      </c>
      <c r="JX3" s="121">
        <f>+JW3-1</f>
        <v>45869</v>
      </c>
      <c r="JY3" s="121">
        <f>+JX3-1</f>
        <v>45868</v>
      </c>
      <c r="JZ3" s="121">
        <f>+JY3-1</f>
        <v>45867</v>
      </c>
      <c r="KA3" s="121">
        <f>+JZ3-1</f>
        <v>45866</v>
      </c>
      <c r="KB3" s="121">
        <f>+KA3-3</f>
        <v>45863</v>
      </c>
      <c r="KC3" s="121">
        <f>+KB3-1</f>
        <v>45862</v>
      </c>
      <c r="KD3" s="121">
        <f>+KC3-1</f>
        <v>45861</v>
      </c>
      <c r="KE3" s="121">
        <f>+KD3-1</f>
        <v>45860</v>
      </c>
      <c r="KF3" s="121">
        <f>+KE3-1</f>
        <v>45859</v>
      </c>
      <c r="KG3" s="121">
        <f>+KF3-3</f>
        <v>45856</v>
      </c>
      <c r="KH3" s="121">
        <f>+KG3-1</f>
        <v>45855</v>
      </c>
      <c r="KI3" s="121">
        <f>+KH3-1</f>
        <v>45854</v>
      </c>
      <c r="KJ3" s="121">
        <f>+KI3-1</f>
        <v>45853</v>
      </c>
      <c r="KK3" s="121">
        <f>+KJ3-1</f>
        <v>45852</v>
      </c>
      <c r="KL3" s="121">
        <f>+KK3-3</f>
        <v>45849</v>
      </c>
      <c r="KM3" s="121">
        <f>+KL3-1</f>
        <v>45848</v>
      </c>
      <c r="KN3" s="121">
        <f>+KM3-1</f>
        <v>45847</v>
      </c>
      <c r="KO3" s="121">
        <f>+KN3-1</f>
        <v>45846</v>
      </c>
      <c r="KP3" s="121">
        <f>+KO3-1</f>
        <v>45845</v>
      </c>
      <c r="KQ3" s="121">
        <f>+KP3-4</f>
        <v>45841</v>
      </c>
      <c r="KR3" s="121">
        <f>+KQ3-1</f>
        <v>45840</v>
      </c>
      <c r="KS3" s="121">
        <f>+KR3-1</f>
        <v>45839</v>
      </c>
      <c r="KT3" s="121">
        <f>+KS3-1</f>
        <v>45838</v>
      </c>
      <c r="KU3" s="121"/>
    </row>
    <row r="4" spans="1:307" s="24" customFormat="1" ht="13" x14ac:dyDescent="0.3"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103">
        <f t="shared" ref="S4:AA4" si="0">TRIMMEAN(S5:S345,10%)</f>
        <v>42.279125090750988</v>
      </c>
      <c r="T4" s="103">
        <f t="shared" si="0"/>
        <v>35.327268146278058</v>
      </c>
      <c r="U4" s="103">
        <f t="shared" si="0"/>
        <v>29.589519877225058</v>
      </c>
      <c r="V4" s="103">
        <f t="shared" si="0"/>
        <v>24.145117718177609</v>
      </c>
      <c r="W4" s="113">
        <f t="shared" si="0"/>
        <v>18.035848726121984</v>
      </c>
      <c r="X4" s="103">
        <f t="shared" si="0"/>
        <v>16.263831257703139</v>
      </c>
      <c r="Y4" s="103">
        <f t="shared" si="0"/>
        <v>14.919449871196571</v>
      </c>
      <c r="Z4" s="103">
        <f t="shared" si="0"/>
        <v>14.274089818002542</v>
      </c>
      <c r="AA4" s="103">
        <f t="shared" si="0"/>
        <v>13.2236858279405</v>
      </c>
      <c r="AB4" s="124" t="s">
        <v>1677</v>
      </c>
      <c r="AC4" s="43" t="s">
        <v>1677</v>
      </c>
      <c r="AD4" s="43" t="s">
        <v>1677</v>
      </c>
      <c r="AE4" s="43" t="s">
        <v>1677</v>
      </c>
      <c r="AF4" s="43" t="s">
        <v>1677</v>
      </c>
      <c r="AG4" s="43" t="s">
        <v>1677</v>
      </c>
      <c r="AH4" s="43" t="s">
        <v>1677</v>
      </c>
      <c r="AI4" s="43" t="s">
        <v>1677</v>
      </c>
      <c r="AJ4" s="43" t="s">
        <v>1677</v>
      </c>
      <c r="AK4" s="43" t="s">
        <v>1677</v>
      </c>
      <c r="AL4" s="104">
        <f>AVERAGE(AL5:AL271)</f>
        <v>1965.21875</v>
      </c>
      <c r="AO4" s="25"/>
      <c r="AP4" s="25"/>
      <c r="AQ4" s="25"/>
    </row>
    <row r="5" spans="1:307" x14ac:dyDescent="0.25">
      <c r="A5" s="1" t="s">
        <v>330</v>
      </c>
      <c r="D5" s="1">
        <v>1</v>
      </c>
      <c r="E5" s="13" t="s">
        <v>18</v>
      </c>
      <c r="F5" s="1" t="s">
        <v>19</v>
      </c>
      <c r="G5" s="7">
        <v>1185.8499999999999</v>
      </c>
      <c r="H5" s="6">
        <f>+G5*L5</f>
        <v>1060149.8999999999</v>
      </c>
      <c r="I5" s="6">
        <f>+[1]Main!$J$5-[1]Main!$J$6</f>
        <v>-42102</v>
      </c>
      <c r="J5" s="6">
        <f t="shared" ref="J5:J24" si="1">H5-I5</f>
        <v>1102251.8999999999</v>
      </c>
      <c r="K5" s="3" t="s">
        <v>2079</v>
      </c>
      <c r="L5" s="6">
        <f>+[1]Main!$J$3</f>
        <v>894</v>
      </c>
      <c r="M5" s="9">
        <v>46243</v>
      </c>
      <c r="N5" s="7">
        <f>[1]Model!$GL$102</f>
        <v>1227.0561769040903</v>
      </c>
      <c r="O5" s="10">
        <f>+N5/G5-1</f>
        <v>3.4748220183067335E-2</v>
      </c>
      <c r="P5" s="10">
        <f>[1]Model!$GL$98</f>
        <v>0.02</v>
      </c>
      <c r="Q5" s="10">
        <f>[1]Model!$GL$99</f>
        <v>0</v>
      </c>
      <c r="R5" s="10">
        <f>[1]Model!$GL$100</f>
        <v>7.0000000000000007E-2</v>
      </c>
      <c r="S5" s="11">
        <f t="shared" ref="S5:AA7" si="2">($J5/$L5)/AB5</f>
        <v>162.872385697694</v>
      </c>
      <c r="T5" s="11">
        <f t="shared" si="2"/>
        <v>134.74797374115229</v>
      </c>
      <c r="U5" s="11">
        <f t="shared" si="2"/>
        <v>81.275145664571099</v>
      </c>
      <c r="V5" s="11">
        <f t="shared" si="2"/>
        <v>47.148908593940483</v>
      </c>
      <c r="W5" s="114">
        <f t="shared" si="2"/>
        <v>34.267480815218001</v>
      </c>
      <c r="X5" s="11">
        <f t="shared" si="2"/>
        <v>26.687098695487954</v>
      </c>
      <c r="Y5" s="11">
        <f t="shared" si="2"/>
        <v>23.067239658214099</v>
      </c>
      <c r="Z5" s="11">
        <f t="shared" si="2"/>
        <v>20.767120763542927</v>
      </c>
      <c r="AA5" s="11">
        <f t="shared" si="2"/>
        <v>19.000523343065858</v>
      </c>
      <c r="AB5" s="125">
        <v>7.57</v>
      </c>
      <c r="AC5" s="61">
        <v>9.15</v>
      </c>
      <c r="AD5" s="61">
        <v>15.17</v>
      </c>
      <c r="AE5" s="61">
        <v>26.15</v>
      </c>
      <c r="AF5" s="61">
        <v>35.979999999999997</v>
      </c>
      <c r="AG5" s="61">
        <v>46.2</v>
      </c>
      <c r="AH5" s="61">
        <v>53.45</v>
      </c>
      <c r="AI5" s="61">
        <v>59.37</v>
      </c>
      <c r="AJ5" s="61">
        <v>64.89</v>
      </c>
      <c r="AK5" s="61">
        <v>70.98</v>
      </c>
      <c r="AL5" s="1">
        <v>1876</v>
      </c>
      <c r="AM5" s="1" t="s">
        <v>2041</v>
      </c>
      <c r="AN5" s="1" t="s">
        <v>2042</v>
      </c>
      <c r="AO5" s="10">
        <f>BD5/FV5-1</f>
        <v>0.12416719395540987</v>
      </c>
      <c r="AP5" s="10">
        <f>BD5/BX5-1</f>
        <v>9.3321266968325656E-2</v>
      </c>
      <c r="AQ5" s="10">
        <f>BD5/CA5-1</f>
        <v>0.13466198320716782</v>
      </c>
      <c r="AR5" s="122">
        <f>BD5/KT5-1</f>
        <v>0.54980565212371557</v>
      </c>
      <c r="BD5" s="120">
        <v>1208.1199999999999</v>
      </c>
      <c r="BE5" s="120">
        <v>1127.69</v>
      </c>
      <c r="BF5" s="120">
        <v>1117.26</v>
      </c>
      <c r="BG5" s="120">
        <v>1107.08</v>
      </c>
      <c r="BH5" s="120">
        <v>1102.08</v>
      </c>
      <c r="BI5" s="120"/>
      <c r="BJ5" s="120">
        <v>1098.57</v>
      </c>
      <c r="BK5" s="120">
        <v>1112</v>
      </c>
      <c r="BL5" s="120">
        <v>1122.5</v>
      </c>
      <c r="BM5" s="120">
        <v>1129.3499999999999</v>
      </c>
      <c r="BN5" s="120">
        <v>1133</v>
      </c>
      <c r="BO5" s="120">
        <v>1160.95</v>
      </c>
      <c r="BP5" s="120">
        <v>1136.3699999999999</v>
      </c>
      <c r="BQ5" s="120">
        <v>1144.68</v>
      </c>
      <c r="BR5" s="120">
        <v>1149.1500000000001</v>
      </c>
      <c r="BS5" s="120">
        <v>1131.42</v>
      </c>
      <c r="BT5" s="120">
        <v>1125.27</v>
      </c>
      <c r="BU5" s="120">
        <v>1078.78</v>
      </c>
      <c r="BV5" s="120">
        <v>1064.1500000000001</v>
      </c>
      <c r="BW5" s="120">
        <v>1082.2</v>
      </c>
      <c r="BX5" s="120">
        <v>1105</v>
      </c>
      <c r="BY5" s="120">
        <v>1126.8</v>
      </c>
      <c r="BZ5" s="120">
        <v>1082.92</v>
      </c>
      <c r="CA5" s="120">
        <v>1064.74</v>
      </c>
      <c r="CB5" s="120">
        <v>1065</v>
      </c>
      <c r="CC5" s="120">
        <v>1041.6500000000001</v>
      </c>
      <c r="CD5" s="120">
        <v>1018.87</v>
      </c>
      <c r="CE5" s="120">
        <v>1021.41</v>
      </c>
      <c r="CF5" s="120">
        <v>988.09</v>
      </c>
      <c r="CG5" s="120">
        <v>1004.92</v>
      </c>
      <c r="CH5" s="120">
        <v>1006.7</v>
      </c>
      <c r="CI5" s="120">
        <v>1015.75</v>
      </c>
      <c r="CJ5" s="120">
        <v>989.87</v>
      </c>
      <c r="CK5" s="120">
        <v>966.99</v>
      </c>
      <c r="CL5" s="120">
        <v>948.45</v>
      </c>
      <c r="CM5" s="120">
        <v>974.96</v>
      </c>
      <c r="CN5" s="120">
        <v>987.05</v>
      </c>
      <c r="CO5" s="120">
        <v>988.87</v>
      </c>
      <c r="CP5" s="120">
        <v>967.93</v>
      </c>
      <c r="CQ5" s="120">
        <v>963.33</v>
      </c>
      <c r="CR5" s="120">
        <v>934.6</v>
      </c>
      <c r="CS5" s="120">
        <v>851.21</v>
      </c>
      <c r="CT5" s="120">
        <v>874</v>
      </c>
      <c r="CU5" s="120">
        <v>868.27</v>
      </c>
      <c r="CV5" s="120">
        <v>883.96</v>
      </c>
      <c r="CW5" s="120">
        <v>917.65</v>
      </c>
      <c r="CX5" s="120">
        <v>921.48</v>
      </c>
      <c r="CY5" s="120">
        <v>903.02</v>
      </c>
      <c r="CZ5" s="120">
        <v>919.9</v>
      </c>
      <c r="DA5" s="120">
        <v>927.03</v>
      </c>
      <c r="DB5" s="120">
        <v>903.99</v>
      </c>
      <c r="DC5" s="120">
        <v>905.03</v>
      </c>
      <c r="DD5" s="120">
        <v>922.5</v>
      </c>
      <c r="DE5" s="120">
        <v>929.55</v>
      </c>
      <c r="DF5" s="120">
        <v>939.47</v>
      </c>
      <c r="DG5" s="120">
        <v>955.19</v>
      </c>
      <c r="DH5" s="120">
        <v>953.3</v>
      </c>
      <c r="DI5" s="120">
        <v>931.09</v>
      </c>
      <c r="DJ5" s="120">
        <v>927.06</v>
      </c>
      <c r="DK5" s="120">
        <v>935.58</v>
      </c>
      <c r="DL5" s="120">
        <v>954.52</v>
      </c>
      <c r="DM5" s="120">
        <v>919.77</v>
      </c>
      <c r="DN5" s="120">
        <v>886.63</v>
      </c>
      <c r="DO5" s="120">
        <v>878.24</v>
      </c>
      <c r="DP5" s="120">
        <v>897</v>
      </c>
      <c r="DQ5" s="120">
        <v>916.31</v>
      </c>
      <c r="DR5" s="120">
        <v>903.02</v>
      </c>
      <c r="DS5" s="120">
        <v>910.55</v>
      </c>
      <c r="DT5" s="120">
        <v>906.7</v>
      </c>
      <c r="DU5" s="120">
        <v>917.5</v>
      </c>
      <c r="DV5" s="120">
        <v>918.05</v>
      </c>
      <c r="DW5" s="120">
        <v>930.35</v>
      </c>
      <c r="DX5" s="120">
        <v>989.12</v>
      </c>
      <c r="DY5" s="120">
        <v>985.08</v>
      </c>
      <c r="DZ5" s="120">
        <v>977.25</v>
      </c>
      <c r="EA5" s="120">
        <v>999.84</v>
      </c>
      <c r="EB5" s="120">
        <v>1001.35</v>
      </c>
      <c r="EC5" s="120">
        <v>1008.39</v>
      </c>
      <c r="ED5" s="120">
        <v>990.33</v>
      </c>
      <c r="EE5" s="120">
        <v>983.26</v>
      </c>
      <c r="EF5" s="120">
        <v>1003.57</v>
      </c>
      <c r="EG5" s="120">
        <v>1007.73</v>
      </c>
      <c r="EH5" s="120">
        <v>1017.97</v>
      </c>
      <c r="EI5" s="120">
        <v>1051.99</v>
      </c>
      <c r="EJ5" s="120">
        <v>1022.02</v>
      </c>
      <c r="EK5" s="120">
        <v>1028.83</v>
      </c>
      <c r="EL5" s="120">
        <v>1042.1500000000001</v>
      </c>
      <c r="EM5" s="120">
        <v>1058.56</v>
      </c>
      <c r="EN5" s="120">
        <v>1009.52</v>
      </c>
      <c r="EO5" s="120">
        <v>1023.22</v>
      </c>
      <c r="EP5" s="120">
        <v>1020.56</v>
      </c>
      <c r="EQ5" s="120">
        <v>1036.05</v>
      </c>
      <c r="ER5" s="120">
        <v>1040</v>
      </c>
      <c r="ES5" s="120">
        <v>1038.27</v>
      </c>
      <c r="ET5" s="120">
        <v>1015.21</v>
      </c>
      <c r="EU5" s="120">
        <v>1025</v>
      </c>
      <c r="EV5" s="120">
        <v>1044.67</v>
      </c>
      <c r="EW5" s="120">
        <v>1058.18</v>
      </c>
      <c r="EX5" s="120">
        <v>1020.84</v>
      </c>
      <c r="EY5" s="120">
        <v>1107.1199999999999</v>
      </c>
      <c r="EZ5" s="120">
        <v>1003.46</v>
      </c>
      <c r="FA5" s="120">
        <v>1044.1300000000001</v>
      </c>
      <c r="FB5" s="120">
        <v>1037.1500000000001</v>
      </c>
      <c r="FC5" s="120">
        <v>1024.1400000000001</v>
      </c>
      <c r="FD5" s="120">
        <v>1023.8</v>
      </c>
      <c r="FE5" s="120">
        <v>1039.51</v>
      </c>
      <c r="FF5" s="120">
        <v>1062.75</v>
      </c>
      <c r="FG5" s="120">
        <v>1064.29</v>
      </c>
      <c r="FH5" s="120">
        <v>1087.3800000000001</v>
      </c>
      <c r="FI5" s="120">
        <v>1078.52</v>
      </c>
      <c r="FJ5" s="120">
        <v>1041.29</v>
      </c>
      <c r="FK5" s="120">
        <v>1038.4000000000001</v>
      </c>
      <c r="FL5" s="120">
        <v>1032.97</v>
      </c>
      <c r="FM5" s="120">
        <v>1073.29</v>
      </c>
      <c r="FN5" s="120">
        <v>1077.19</v>
      </c>
      <c r="FO5" s="120">
        <v>1081</v>
      </c>
      <c r="FP5" s="120">
        <v>1063.56</v>
      </c>
      <c r="FQ5" s="120">
        <v>1085.19</v>
      </c>
      <c r="FR5" s="120">
        <v>1108.0899999999999</v>
      </c>
      <c r="FS5" s="120">
        <v>1064.04</v>
      </c>
      <c r="FT5" s="120">
        <v>1041.51</v>
      </c>
      <c r="FU5" s="120">
        <v>1080.3599999999999</v>
      </c>
      <c r="FV5" s="120">
        <v>1074.68</v>
      </c>
      <c r="FW5" s="120">
        <v>1079.75</v>
      </c>
      <c r="FX5" s="120">
        <v>1078.73</v>
      </c>
      <c r="FY5" s="120">
        <v>1077.75</v>
      </c>
      <c r="FZ5" s="120">
        <v>1076.98</v>
      </c>
      <c r="GA5" s="120">
        <v>1071.6400000000001</v>
      </c>
      <c r="GB5" s="120">
        <v>1076.48</v>
      </c>
      <c r="GC5" s="120">
        <v>1071.44</v>
      </c>
      <c r="GD5" s="120">
        <v>1056.8800000000001</v>
      </c>
      <c r="GE5" s="120">
        <v>1041.79</v>
      </c>
      <c r="GF5" s="120">
        <v>1054.29</v>
      </c>
      <c r="GG5" s="120">
        <v>1062.19</v>
      </c>
      <c r="GH5" s="120">
        <v>1027.51</v>
      </c>
      <c r="GI5" s="120">
        <v>1009.38</v>
      </c>
      <c r="GJ5" s="120">
        <v>993.64</v>
      </c>
      <c r="GK5" s="120">
        <v>982.22</v>
      </c>
      <c r="GL5" s="120">
        <v>997.59</v>
      </c>
      <c r="GM5" s="120">
        <v>1010.31</v>
      </c>
      <c r="GN5" s="120">
        <v>1014.49</v>
      </c>
      <c r="GO5" s="120">
        <v>1033.56</v>
      </c>
      <c r="GP5" s="120">
        <v>1046.1199999999999</v>
      </c>
      <c r="GQ5" s="120">
        <v>1057.8900000000001</v>
      </c>
      <c r="GR5" s="120">
        <v>1075.47</v>
      </c>
      <c r="GS5" s="120">
        <v>1104.3399999999999</v>
      </c>
      <c r="GT5" s="120">
        <v>1109.94</v>
      </c>
      <c r="GU5" s="120">
        <v>1070.1600000000001</v>
      </c>
      <c r="GV5" s="120">
        <v>1059.7</v>
      </c>
      <c r="GW5" s="120">
        <v>1043.29</v>
      </c>
      <c r="GX5" s="120">
        <v>1049.5999999999999</v>
      </c>
      <c r="GY5" s="120">
        <v>1030.05</v>
      </c>
      <c r="GZ5" s="120">
        <v>1021.7</v>
      </c>
      <c r="HA5" s="120">
        <v>1025.28</v>
      </c>
      <c r="HB5" s="120">
        <v>1022.87</v>
      </c>
      <c r="HC5" s="120">
        <v>1017.78</v>
      </c>
      <c r="HD5" s="120">
        <v>988.62</v>
      </c>
      <c r="HE5" s="120">
        <v>966.64</v>
      </c>
      <c r="HF5" s="120">
        <v>924.37</v>
      </c>
      <c r="HG5" s="120">
        <v>937.44</v>
      </c>
      <c r="HH5" s="120">
        <v>925.81</v>
      </c>
      <c r="HI5" s="120">
        <v>906.86</v>
      </c>
      <c r="HJ5" s="120">
        <v>896.53</v>
      </c>
      <c r="HK5" s="120">
        <v>862.86</v>
      </c>
      <c r="HL5" s="120">
        <v>844.5</v>
      </c>
      <c r="HM5" s="120">
        <v>813.53</v>
      </c>
      <c r="HN5" s="120">
        <v>820.1</v>
      </c>
      <c r="HO5" s="120">
        <v>826.41</v>
      </c>
      <c r="HP5" s="120">
        <v>825.45</v>
      </c>
      <c r="HQ5" s="120">
        <v>821.04</v>
      </c>
      <c r="HR5" s="120">
        <v>812.43</v>
      </c>
      <c r="HS5" s="120">
        <v>799.57</v>
      </c>
      <c r="HT5" s="120">
        <v>808.96</v>
      </c>
      <c r="HU5" s="120">
        <v>802.83</v>
      </c>
      <c r="HV5" s="120">
        <v>819.38</v>
      </c>
      <c r="HW5" s="120">
        <v>826.57</v>
      </c>
      <c r="HX5" s="120">
        <v>812.35</v>
      </c>
      <c r="HY5" s="120">
        <v>819.4</v>
      </c>
      <c r="HZ5" s="120">
        <v>833.49</v>
      </c>
      <c r="IA5" s="120">
        <v>855.35</v>
      </c>
      <c r="IB5" s="120">
        <v>845.72</v>
      </c>
      <c r="IC5" s="120">
        <v>843.63</v>
      </c>
      <c r="ID5" s="120">
        <v>845.05</v>
      </c>
      <c r="IE5" s="120">
        <v>839.87</v>
      </c>
      <c r="IF5" s="120">
        <v>819.85</v>
      </c>
      <c r="IG5" s="120">
        <v>825.42</v>
      </c>
      <c r="IH5" s="120">
        <v>763</v>
      </c>
      <c r="II5" s="120">
        <v>726.51</v>
      </c>
      <c r="IJ5" s="120">
        <v>724.54</v>
      </c>
      <c r="IK5" s="120">
        <v>714.59</v>
      </c>
      <c r="IL5" s="120">
        <v>741.85</v>
      </c>
      <c r="IM5" s="120">
        <v>746.98</v>
      </c>
      <c r="IN5" s="120">
        <v>754.95</v>
      </c>
      <c r="IO5" s="120">
        <v>751.99</v>
      </c>
      <c r="IP5" s="120">
        <v>762.93</v>
      </c>
      <c r="IQ5" s="120">
        <v>760.13</v>
      </c>
      <c r="IR5" s="120">
        <v>764.71</v>
      </c>
      <c r="IS5" s="120">
        <v>748.19</v>
      </c>
      <c r="IT5" s="120">
        <v>755.39</v>
      </c>
      <c r="IU5" s="120">
        <v>756.28</v>
      </c>
      <c r="IV5" s="120">
        <v>754.62</v>
      </c>
      <c r="IW5" s="120">
        <v>750.61</v>
      </c>
      <c r="IX5" s="120">
        <v>738.64</v>
      </c>
      <c r="IY5" s="120">
        <v>727.21</v>
      </c>
      <c r="IZ5" s="120">
        <v>742.91</v>
      </c>
      <c r="JA5" s="120">
        <v>737.83</v>
      </c>
      <c r="JB5" s="120">
        <v>735.19</v>
      </c>
      <c r="JC5" s="120">
        <v>732.58</v>
      </c>
      <c r="JD5" s="120">
        <v>731.96</v>
      </c>
      <c r="JE5" s="120">
        <v>734.17</v>
      </c>
      <c r="JF5" s="120">
        <v>736.03</v>
      </c>
      <c r="JG5" s="120">
        <v>695.33</v>
      </c>
      <c r="JH5" s="120">
        <v>711.68</v>
      </c>
      <c r="JI5" s="120">
        <v>709.82</v>
      </c>
      <c r="JJ5" s="120">
        <v>705.44</v>
      </c>
      <c r="JK5" s="120">
        <v>703.21</v>
      </c>
      <c r="JL5" s="120">
        <v>698.05</v>
      </c>
      <c r="JM5" s="120">
        <v>701.23</v>
      </c>
      <c r="JN5" s="120">
        <v>684.43</v>
      </c>
      <c r="JO5" s="120">
        <v>660.49</v>
      </c>
      <c r="JP5" s="120">
        <v>639.42999999999995</v>
      </c>
      <c r="JQ5" s="120">
        <v>635.22</v>
      </c>
      <c r="JR5" s="120">
        <v>625.65</v>
      </c>
      <c r="JS5" s="120">
        <v>640.86</v>
      </c>
      <c r="JT5" s="120">
        <v>746.37</v>
      </c>
      <c r="JU5" s="120">
        <v>765.95</v>
      </c>
      <c r="JV5" s="120">
        <v>769</v>
      </c>
      <c r="JW5" s="120">
        <v>762.33</v>
      </c>
      <c r="JX5" s="120">
        <v>740.07</v>
      </c>
      <c r="JY5" s="120">
        <v>760.08</v>
      </c>
      <c r="JZ5" s="120">
        <v>762.95</v>
      </c>
      <c r="KA5" s="120">
        <v>808.11</v>
      </c>
      <c r="KB5" s="120">
        <v>812.69</v>
      </c>
      <c r="KC5" s="120">
        <v>805.43</v>
      </c>
      <c r="KD5" s="120">
        <v>798.89</v>
      </c>
      <c r="KE5" s="120">
        <v>776.44</v>
      </c>
      <c r="KF5" s="120">
        <v>762.18</v>
      </c>
      <c r="KG5" s="120">
        <v>771.71</v>
      </c>
      <c r="KH5" s="120">
        <v>761.5</v>
      </c>
      <c r="KI5" s="120">
        <v>789.8</v>
      </c>
      <c r="KJ5" s="120">
        <v>771.75</v>
      </c>
      <c r="KK5" s="120">
        <v>799.34</v>
      </c>
      <c r="KL5" s="120">
        <v>793.01</v>
      </c>
      <c r="KM5" s="120">
        <v>790.65</v>
      </c>
      <c r="KN5" s="120">
        <v>786.92</v>
      </c>
      <c r="KO5" s="120">
        <v>777.66</v>
      </c>
      <c r="KP5" s="120">
        <v>772.87</v>
      </c>
      <c r="KQ5" s="120">
        <v>780.67</v>
      </c>
      <c r="KR5" s="120">
        <v>779.28</v>
      </c>
      <c r="KS5" s="120">
        <v>775.9</v>
      </c>
      <c r="KT5" s="120">
        <v>779.53</v>
      </c>
    </row>
    <row r="6" spans="1:307" x14ac:dyDescent="0.25">
      <c r="A6" s="1" t="s">
        <v>330</v>
      </c>
      <c r="D6" s="1">
        <v>2</v>
      </c>
      <c r="E6" s="13" t="s">
        <v>13</v>
      </c>
      <c r="F6" s="1" t="s">
        <v>14</v>
      </c>
      <c r="G6" s="7">
        <v>259.72000000000003</v>
      </c>
      <c r="H6" s="6">
        <f>+G6*L6</f>
        <v>625405.76</v>
      </c>
      <c r="I6" s="6">
        <f>+[2]Main!$L$5-[2]Main!$L$6</f>
        <v>-28278</v>
      </c>
      <c r="J6" s="6">
        <f t="shared" si="1"/>
        <v>653683.76</v>
      </c>
      <c r="K6" s="3" t="s">
        <v>2079</v>
      </c>
      <c r="L6" s="6">
        <f>+[2]Main!$L$3</f>
        <v>2408</v>
      </c>
      <c r="M6" s="9">
        <v>46243</v>
      </c>
      <c r="N6" s="7">
        <f>[2]Model!$FV$85</f>
        <v>175.06971327330956</v>
      </c>
      <c r="O6" s="10">
        <f>N6/G6-1</f>
        <v>-0.32592902636181453</v>
      </c>
      <c r="P6" s="10">
        <f>+[2]Model!$FV$78</f>
        <v>0.02</v>
      </c>
      <c r="Q6" s="10">
        <f>[2]Model!$FR$79</f>
        <v>0</v>
      </c>
      <c r="R6" s="10">
        <f>[2]Model!$FR$80</f>
        <v>0</v>
      </c>
      <c r="S6" s="11">
        <f t="shared" si="2"/>
        <v>35.53185281174445</v>
      </c>
      <c r="T6" s="11">
        <f t="shared" si="2"/>
        <v>32.049982937630176</v>
      </c>
      <c r="U6" s="11">
        <f t="shared" si="2"/>
        <v>32.394195164883961</v>
      </c>
      <c r="V6" s="11">
        <f t="shared" si="2"/>
        <v>29.410981092278178</v>
      </c>
      <c r="W6" s="114">
        <f t="shared" si="2"/>
        <v>23.503320820928796</v>
      </c>
      <c r="X6" s="11">
        <f t="shared" si="2"/>
        <v>21.442603118619875</v>
      </c>
      <c r="Y6" s="11">
        <f t="shared" si="2"/>
        <v>19.225450104938215</v>
      </c>
      <c r="Z6" s="11">
        <f t="shared" si="2"/>
        <v>16.871557208311224</v>
      </c>
      <c r="AA6" s="11">
        <f t="shared" si="2"/>
        <v>15.098073163611101</v>
      </c>
      <c r="AB6" s="125">
        <v>7.64</v>
      </c>
      <c r="AC6" s="61">
        <v>8.4700000000000006</v>
      </c>
      <c r="AD6" s="61">
        <v>8.3800000000000008</v>
      </c>
      <c r="AE6" s="61">
        <v>9.23</v>
      </c>
      <c r="AF6" s="61">
        <v>11.55</v>
      </c>
      <c r="AG6" s="61">
        <v>12.66</v>
      </c>
      <c r="AH6" s="61">
        <v>14.12</v>
      </c>
      <c r="AI6" s="61">
        <v>16.09</v>
      </c>
      <c r="AJ6" s="61">
        <v>17.98</v>
      </c>
      <c r="AK6" s="61">
        <v>20.57</v>
      </c>
      <c r="AL6">
        <v>1886</v>
      </c>
      <c r="AM6" s="1" t="s">
        <v>2219</v>
      </c>
      <c r="AN6" s="1" t="s">
        <v>2042</v>
      </c>
      <c r="AO6" s="10">
        <f>BD6/FV6-1</f>
        <v>0.23053877748248364</v>
      </c>
      <c r="AP6" s="10">
        <f>BD6/BX6-1</f>
        <v>0.13016464740602673</v>
      </c>
      <c r="AQ6" s="10">
        <f>BD6/CA6-1</f>
        <v>0.10635155096011806</v>
      </c>
      <c r="AR6" s="122">
        <f>BD6/KT6-1</f>
        <v>0.66716857610474634</v>
      </c>
      <c r="BD6" s="1">
        <v>254.66</v>
      </c>
      <c r="BE6" s="1">
        <v>244.88</v>
      </c>
      <c r="BF6" s="1">
        <v>241</v>
      </c>
      <c r="BG6" s="1">
        <v>239.08</v>
      </c>
      <c r="BH6" s="1">
        <v>231.29</v>
      </c>
      <c r="BJ6" s="1">
        <v>228.39</v>
      </c>
      <c r="BK6" s="1">
        <v>234.2</v>
      </c>
      <c r="BL6" s="1">
        <v>235.18</v>
      </c>
      <c r="BM6" s="1">
        <v>235.66</v>
      </c>
      <c r="BN6" s="1">
        <v>240.87</v>
      </c>
      <c r="BO6" s="1">
        <v>238.33</v>
      </c>
      <c r="BP6" s="1">
        <v>238.49</v>
      </c>
      <c r="BQ6" s="1">
        <v>237</v>
      </c>
      <c r="BR6" s="1">
        <v>232.16</v>
      </c>
      <c r="BS6" s="1">
        <v>232.77</v>
      </c>
      <c r="BT6" s="1">
        <v>228.17</v>
      </c>
      <c r="BU6" s="1">
        <v>223.24</v>
      </c>
      <c r="BV6" s="1">
        <v>222.89</v>
      </c>
      <c r="BW6" s="1">
        <v>223.51</v>
      </c>
      <c r="BX6" s="1">
        <v>225.33</v>
      </c>
      <c r="BY6" s="1">
        <v>230.8</v>
      </c>
      <c r="BZ6" s="1">
        <v>231.29</v>
      </c>
      <c r="CA6" s="1">
        <v>230.18</v>
      </c>
      <c r="CB6" s="1">
        <v>234.34</v>
      </c>
      <c r="CC6" s="1">
        <v>231.73</v>
      </c>
      <c r="CD6" s="1">
        <v>229.32</v>
      </c>
      <c r="CE6" s="1">
        <v>230</v>
      </c>
      <c r="CF6" s="1">
        <v>228.92</v>
      </c>
      <c r="CG6" s="1">
        <v>226.71</v>
      </c>
      <c r="CH6" s="1">
        <v>230.8</v>
      </c>
      <c r="CI6" s="1">
        <v>230.42</v>
      </c>
      <c r="CJ6" s="1">
        <v>224.26</v>
      </c>
      <c r="CK6" s="1">
        <v>221.43</v>
      </c>
      <c r="CL6" s="1">
        <v>221.32</v>
      </c>
      <c r="CM6" s="1">
        <v>222.51</v>
      </c>
      <c r="CN6" s="1">
        <v>224.62</v>
      </c>
      <c r="CO6" s="1">
        <v>225.55</v>
      </c>
      <c r="CP6" s="1">
        <v>224.2</v>
      </c>
      <c r="CQ6" s="1">
        <v>227.19</v>
      </c>
      <c r="CR6" s="1">
        <v>229.85</v>
      </c>
      <c r="CS6" s="1">
        <v>227.35</v>
      </c>
      <c r="CT6" s="1">
        <v>227.79</v>
      </c>
      <c r="CU6" s="1">
        <v>225.34</v>
      </c>
      <c r="CV6" s="1">
        <v>227.5</v>
      </c>
      <c r="CW6" s="1">
        <v>230.65</v>
      </c>
      <c r="CX6" s="1">
        <v>226.1</v>
      </c>
      <c r="CY6" s="1">
        <v>226.16</v>
      </c>
      <c r="CZ6" s="1">
        <v>230.69</v>
      </c>
      <c r="DA6" s="1">
        <v>234.18</v>
      </c>
      <c r="DB6" s="1">
        <v>234.54</v>
      </c>
      <c r="DC6" s="1">
        <v>238.67</v>
      </c>
      <c r="DD6" s="1">
        <v>240.1</v>
      </c>
      <c r="DE6" s="1">
        <v>237.96</v>
      </c>
      <c r="DF6" s="1">
        <v>238.46</v>
      </c>
      <c r="DG6" s="1">
        <v>241.31</v>
      </c>
      <c r="DH6" s="1">
        <v>241.3</v>
      </c>
      <c r="DI6" s="1">
        <v>238.41</v>
      </c>
      <c r="DJ6" s="1">
        <v>240.97</v>
      </c>
      <c r="DK6" s="1">
        <v>243.04</v>
      </c>
      <c r="DL6" s="1">
        <v>244.12</v>
      </c>
      <c r="DM6" s="1">
        <v>244.44</v>
      </c>
      <c r="DN6" s="1">
        <v>242.49</v>
      </c>
      <c r="DO6" s="1">
        <v>240.45</v>
      </c>
      <c r="DP6" s="1">
        <v>239.24</v>
      </c>
      <c r="DQ6" s="1">
        <v>239.93</v>
      </c>
      <c r="DR6" s="1">
        <v>235.27</v>
      </c>
      <c r="DS6" s="1">
        <v>235.42</v>
      </c>
      <c r="DT6" s="1">
        <v>235.37</v>
      </c>
      <c r="DU6" s="1">
        <v>237.6</v>
      </c>
      <c r="DV6" s="1">
        <v>237.28</v>
      </c>
      <c r="DW6" s="1">
        <v>238.11</v>
      </c>
      <c r="DX6" s="1">
        <v>243.19</v>
      </c>
      <c r="DY6" s="1">
        <v>241.52</v>
      </c>
      <c r="DZ6" s="1">
        <v>242.04</v>
      </c>
      <c r="EA6" s="1">
        <v>242.99</v>
      </c>
      <c r="EB6" s="1">
        <v>243.71</v>
      </c>
      <c r="EC6" s="1">
        <v>242.59</v>
      </c>
      <c r="ED6" s="1">
        <v>240.4</v>
      </c>
      <c r="EE6" s="1">
        <v>239.63</v>
      </c>
      <c r="EF6" s="1">
        <v>245.3</v>
      </c>
      <c r="EG6" s="1">
        <v>246.75</v>
      </c>
      <c r="EH6" s="1">
        <v>248.56</v>
      </c>
      <c r="EI6" s="1">
        <v>248.43</v>
      </c>
      <c r="EJ6" s="1">
        <v>243.47</v>
      </c>
      <c r="EK6" s="1">
        <v>245.17</v>
      </c>
      <c r="EL6" s="1">
        <v>246.28</v>
      </c>
      <c r="EM6" s="1">
        <v>245.84</v>
      </c>
      <c r="EN6" s="1">
        <v>242.49</v>
      </c>
      <c r="EO6" s="1">
        <v>246.91</v>
      </c>
      <c r="EP6" s="1">
        <v>244.99</v>
      </c>
      <c r="EQ6" s="1">
        <v>243.33</v>
      </c>
      <c r="ER6" s="1">
        <v>243.45</v>
      </c>
      <c r="ES6" s="1">
        <v>244.55</v>
      </c>
      <c r="ET6" s="1">
        <v>240.86</v>
      </c>
      <c r="EU6" s="1">
        <v>238.35</v>
      </c>
      <c r="EV6" s="1">
        <v>238.64</v>
      </c>
      <c r="EW6" s="1">
        <v>239.99</v>
      </c>
      <c r="EX6" s="1">
        <v>237.79</v>
      </c>
      <c r="EY6" s="1">
        <v>234.47</v>
      </c>
      <c r="EZ6" s="1">
        <v>233.1</v>
      </c>
      <c r="FA6" s="1">
        <v>230.75</v>
      </c>
      <c r="FB6" s="1">
        <v>227.25</v>
      </c>
      <c r="FC6" s="1">
        <v>227.29</v>
      </c>
      <c r="FD6" s="1">
        <v>227.72</v>
      </c>
      <c r="FE6" s="1">
        <v>224.44</v>
      </c>
      <c r="FF6" s="1">
        <v>221.49</v>
      </c>
      <c r="FG6" s="1">
        <v>220.14</v>
      </c>
      <c r="FH6" s="1">
        <v>218.49</v>
      </c>
      <c r="FI6" s="1">
        <v>218.01</v>
      </c>
      <c r="FJ6" s="1">
        <v>218.21</v>
      </c>
      <c r="FK6" s="1">
        <v>218.66</v>
      </c>
      <c r="FL6" s="1">
        <v>219.57</v>
      </c>
      <c r="FM6" s="1">
        <v>218.55</v>
      </c>
      <c r="FN6" s="1">
        <v>213.65</v>
      </c>
      <c r="FO6" s="1">
        <v>209.72</v>
      </c>
      <c r="FP6" s="1">
        <v>204.39</v>
      </c>
      <c r="FQ6" s="1">
        <v>205.75</v>
      </c>
      <c r="FR6" s="1">
        <v>207.49</v>
      </c>
      <c r="FS6" s="1">
        <v>204.79</v>
      </c>
      <c r="FT6" s="1">
        <v>204.31</v>
      </c>
      <c r="FU6" s="1">
        <v>207.35</v>
      </c>
      <c r="FV6" s="1">
        <v>206.95</v>
      </c>
      <c r="FW6" s="1">
        <v>206.91</v>
      </c>
      <c r="FX6" s="1">
        <v>207.56</v>
      </c>
      <c r="FY6" s="1">
        <v>207.63</v>
      </c>
      <c r="FZ6" s="1">
        <v>207.78</v>
      </c>
      <c r="GA6" s="1">
        <v>205.78</v>
      </c>
      <c r="GB6" s="1">
        <v>207.32</v>
      </c>
      <c r="GC6" s="1">
        <v>206.37</v>
      </c>
      <c r="GD6" s="1">
        <v>208.31</v>
      </c>
      <c r="GE6" s="1">
        <v>210.33</v>
      </c>
      <c r="GF6" s="1">
        <v>209.3</v>
      </c>
      <c r="GG6" s="1">
        <v>214.17</v>
      </c>
      <c r="GH6" s="1">
        <v>211.58</v>
      </c>
      <c r="GI6" s="1">
        <v>210.01</v>
      </c>
      <c r="GJ6" s="1">
        <v>206.54</v>
      </c>
      <c r="GK6" s="1">
        <v>199.96</v>
      </c>
      <c r="GL6" s="1">
        <v>201.62</v>
      </c>
      <c r="GM6" s="1">
        <v>201.93</v>
      </c>
      <c r="GN6" s="1">
        <v>202.48</v>
      </c>
      <c r="GO6" s="1">
        <v>205.33</v>
      </c>
      <c r="GP6" s="1">
        <v>205.42</v>
      </c>
      <c r="GQ6" s="1">
        <v>205.34</v>
      </c>
      <c r="GR6" s="1">
        <v>206.92</v>
      </c>
      <c r="GS6" s="1">
        <v>207.56</v>
      </c>
      <c r="GT6" s="1">
        <v>206.67</v>
      </c>
      <c r="GU6" s="1">
        <v>206.05</v>
      </c>
      <c r="GV6" s="1">
        <v>203.9</v>
      </c>
      <c r="GW6" s="1">
        <v>203.07</v>
      </c>
      <c r="GX6" s="1">
        <v>202.51</v>
      </c>
      <c r="GY6" s="1">
        <v>200</v>
      </c>
      <c r="GZ6" s="1">
        <v>199.58</v>
      </c>
      <c r="HA6" s="1">
        <v>195.93</v>
      </c>
      <c r="HB6" s="1">
        <v>195.25</v>
      </c>
      <c r="HC6" s="1">
        <v>194.39</v>
      </c>
      <c r="HD6" s="1">
        <v>193.83</v>
      </c>
      <c r="HE6" s="1">
        <v>188.41</v>
      </c>
      <c r="HF6" s="1">
        <v>186.57</v>
      </c>
      <c r="HG6" s="1">
        <v>186.97</v>
      </c>
      <c r="HH6" s="1">
        <v>186</v>
      </c>
      <c r="HI6" s="1">
        <v>186.86</v>
      </c>
      <c r="HJ6" s="1">
        <v>186.26</v>
      </c>
      <c r="HK6" s="1">
        <v>188.87</v>
      </c>
      <c r="HL6" s="1">
        <v>189.05</v>
      </c>
      <c r="HM6" s="1">
        <v>186.6</v>
      </c>
      <c r="HN6" s="1">
        <v>186.93</v>
      </c>
      <c r="HO6" s="1">
        <v>190.3</v>
      </c>
      <c r="HP6" s="1">
        <v>190.4</v>
      </c>
      <c r="HQ6" s="1">
        <v>192.47</v>
      </c>
      <c r="HR6" s="1">
        <v>192.94</v>
      </c>
      <c r="HS6" s="1">
        <v>191.88</v>
      </c>
      <c r="HT6" s="1">
        <v>193.72</v>
      </c>
      <c r="HU6" s="1">
        <v>193.22</v>
      </c>
      <c r="HV6" s="1">
        <v>192.12</v>
      </c>
      <c r="HW6" s="1">
        <v>191.17</v>
      </c>
      <c r="HX6" s="1">
        <v>190.85</v>
      </c>
      <c r="HY6" s="1">
        <v>190.9</v>
      </c>
      <c r="HZ6" s="1">
        <v>190.72</v>
      </c>
      <c r="IA6" s="1">
        <v>191.08</v>
      </c>
      <c r="IB6" s="1">
        <v>189.69</v>
      </c>
      <c r="IC6" s="1">
        <v>188.89</v>
      </c>
      <c r="ID6" s="1">
        <v>188.16</v>
      </c>
      <c r="IE6" s="1">
        <v>188.64</v>
      </c>
      <c r="IF6" s="1">
        <v>185.98</v>
      </c>
      <c r="IG6" s="1">
        <v>186.05</v>
      </c>
      <c r="IH6" s="1">
        <v>185.42</v>
      </c>
      <c r="II6" s="1">
        <v>181.62</v>
      </c>
      <c r="IJ6" s="1">
        <v>179.71</v>
      </c>
      <c r="IK6" s="1">
        <v>177.73</v>
      </c>
      <c r="IL6" s="1">
        <v>176.69</v>
      </c>
      <c r="IM6" s="1">
        <v>176.58</v>
      </c>
      <c r="IN6" s="1">
        <v>174.21</v>
      </c>
      <c r="IO6" s="1">
        <v>176.19</v>
      </c>
      <c r="IP6" s="1">
        <v>174.16</v>
      </c>
      <c r="IQ6" s="1">
        <v>177.2</v>
      </c>
      <c r="IR6" s="1">
        <v>176.46</v>
      </c>
      <c r="IS6" s="1">
        <v>177.4</v>
      </c>
      <c r="IT6" s="1">
        <v>178.06</v>
      </c>
      <c r="IU6" s="1">
        <v>178.5</v>
      </c>
      <c r="IV6" s="1">
        <v>175.79</v>
      </c>
      <c r="IW6" s="1">
        <v>176.96</v>
      </c>
      <c r="IX6" s="1">
        <v>178.13</v>
      </c>
      <c r="IY6" s="1">
        <v>178.43</v>
      </c>
      <c r="IZ6" s="1">
        <v>178.76</v>
      </c>
      <c r="JA6" s="1">
        <v>178</v>
      </c>
      <c r="JB6" s="1">
        <v>178.06</v>
      </c>
      <c r="JC6" s="1">
        <v>177.17</v>
      </c>
      <c r="JD6" s="1">
        <v>175.45</v>
      </c>
      <c r="JE6" s="1">
        <v>176.79</v>
      </c>
      <c r="JF6" s="1">
        <v>176.49</v>
      </c>
      <c r="JG6" s="1">
        <v>178.41</v>
      </c>
      <c r="JH6" s="1">
        <v>179.29</v>
      </c>
      <c r="JI6" s="1">
        <v>178.93</v>
      </c>
      <c r="JJ6" s="1">
        <v>178.84</v>
      </c>
      <c r="JK6" s="1">
        <v>177.8</v>
      </c>
      <c r="JL6" s="1">
        <v>176.25</v>
      </c>
      <c r="JM6" s="1">
        <v>176.64</v>
      </c>
      <c r="JN6" s="1">
        <v>174.72</v>
      </c>
      <c r="JO6" s="1">
        <v>174.42</v>
      </c>
      <c r="JP6" s="1">
        <v>172.78</v>
      </c>
      <c r="JQ6" s="1">
        <v>173.82</v>
      </c>
      <c r="JR6" s="1">
        <v>173.33</v>
      </c>
      <c r="JS6" s="1">
        <v>171.53</v>
      </c>
      <c r="JT6" s="1">
        <v>170.59</v>
      </c>
      <c r="JU6" s="1">
        <v>170.74</v>
      </c>
      <c r="JV6" s="1">
        <v>171.04</v>
      </c>
      <c r="JW6" s="1">
        <v>167.33</v>
      </c>
      <c r="JX6" s="1">
        <v>164.74</v>
      </c>
      <c r="JY6" s="1">
        <v>167.26</v>
      </c>
      <c r="JZ6" s="1">
        <v>168.11</v>
      </c>
      <c r="KA6" s="1">
        <v>166.22</v>
      </c>
      <c r="KB6" s="1">
        <v>168.3</v>
      </c>
      <c r="KC6" s="1">
        <v>169.56</v>
      </c>
      <c r="KD6" s="1">
        <v>169.1</v>
      </c>
      <c r="KE6" s="1">
        <v>167.93</v>
      </c>
      <c r="KF6" s="1">
        <v>164.36</v>
      </c>
      <c r="KG6" s="1">
        <v>163.69999999999999</v>
      </c>
      <c r="KH6" s="1">
        <v>162.97999999999999</v>
      </c>
      <c r="KI6" s="1">
        <v>164.78</v>
      </c>
      <c r="KJ6" s="1">
        <v>155.16999999999999</v>
      </c>
      <c r="KK6" s="1">
        <v>156.82</v>
      </c>
      <c r="KL6" s="1">
        <v>156.9</v>
      </c>
      <c r="KM6" s="1">
        <v>157.69</v>
      </c>
      <c r="KN6" s="1">
        <v>156.28</v>
      </c>
      <c r="KO6" s="1">
        <v>155.79</v>
      </c>
      <c r="KP6" s="1">
        <v>155.27000000000001</v>
      </c>
      <c r="KQ6" s="1">
        <v>156.01</v>
      </c>
      <c r="KR6" s="1">
        <v>155.56</v>
      </c>
      <c r="KS6" s="1">
        <v>155.91999999999999</v>
      </c>
      <c r="KT6" s="1">
        <v>152.75</v>
      </c>
    </row>
    <row r="7" spans="1:307" x14ac:dyDescent="0.25">
      <c r="A7" s="1" t="s">
        <v>330</v>
      </c>
      <c r="B7"/>
      <c r="C7"/>
      <c r="D7">
        <v>3</v>
      </c>
      <c r="E7" s="13" t="s">
        <v>16</v>
      </c>
      <c r="F7" t="s">
        <v>17</v>
      </c>
      <c r="G7" s="52">
        <v>246.04</v>
      </c>
      <c r="H7" s="29">
        <f>+G7*L7</f>
        <v>435736.83999999997</v>
      </c>
      <c r="I7" s="29">
        <f>+[3]Main!$K$5-[3]Main!$K$6</f>
        <v>-63987</v>
      </c>
      <c r="J7" s="29">
        <f t="shared" si="1"/>
        <v>499723.83999999997</v>
      </c>
      <c r="K7" s="27" t="s">
        <v>2079</v>
      </c>
      <c r="L7" s="29">
        <f>+[3]Main!$K$3</f>
        <v>1771</v>
      </c>
      <c r="M7" s="9">
        <v>46243</v>
      </c>
      <c r="N7" s="7">
        <f>[3]Model!$DX$79</f>
        <v>224.94848290027019</v>
      </c>
      <c r="O7" s="10">
        <f>+N7/G7-1</f>
        <v>-8.5723935537838525E-2</v>
      </c>
      <c r="P7" s="10">
        <f>[3]Model!$DX$77</f>
        <v>0</v>
      </c>
      <c r="Q7" s="10">
        <f>[3]Model!$DX$76</f>
        <v>-0.01</v>
      </c>
      <c r="R7" s="10">
        <f>[3]Model!$DX$75</f>
        <v>0.06</v>
      </c>
      <c r="S7" s="11">
        <f t="shared" si="2"/>
        <v>26.695405372053798</v>
      </c>
      <c r="T7" s="11">
        <f t="shared" si="2"/>
        <v>36.315371271893007</v>
      </c>
      <c r="U7" s="11">
        <f t="shared" si="2"/>
        <v>36.597981165059487</v>
      </c>
      <c r="V7" s="11">
        <f t="shared" si="2"/>
        <v>32.321928382887585</v>
      </c>
      <c r="W7" s="114">
        <f t="shared" si="2"/>
        <v>20.069020966046136</v>
      </c>
      <c r="X7" s="119">
        <f t="shared" si="2"/>
        <v>17.353655275683188</v>
      </c>
      <c r="Y7" s="11">
        <f t="shared" si="2"/>
        <v>15.887974931453188</v>
      </c>
      <c r="Z7" s="11">
        <f t="shared" si="2"/>
        <v>14.89026041069175</v>
      </c>
      <c r="AA7" s="11">
        <f t="shared" si="2"/>
        <v>14.455452601568066</v>
      </c>
      <c r="AB7" s="125">
        <v>10.57</v>
      </c>
      <c r="AC7" s="61">
        <v>7.77</v>
      </c>
      <c r="AD7" s="61">
        <v>7.71</v>
      </c>
      <c r="AE7" s="61">
        <v>8.73</v>
      </c>
      <c r="AF7" s="61">
        <v>14.06</v>
      </c>
      <c r="AG7" s="61">
        <v>16.260000000000002</v>
      </c>
      <c r="AH7" s="61">
        <v>17.760000000000002</v>
      </c>
      <c r="AI7" s="61">
        <v>18.95</v>
      </c>
      <c r="AJ7" s="61">
        <v>19.52</v>
      </c>
      <c r="AK7" s="61">
        <v>20.98</v>
      </c>
      <c r="AL7" s="1">
        <v>1888</v>
      </c>
      <c r="AM7" t="s">
        <v>2220</v>
      </c>
      <c r="AN7" s="1" t="s">
        <v>2042</v>
      </c>
      <c r="AO7" s="10">
        <f>BD7/FV7-1</f>
        <v>0.10880126044903493</v>
      </c>
      <c r="AP7" s="10">
        <f>BD7/BX7-1</f>
        <v>0.16365056035274672</v>
      </c>
      <c r="AQ7" s="10">
        <f>BD7/CA7-1</f>
        <v>0.18876689189189189</v>
      </c>
      <c r="AR7" s="122">
        <f>BD7/KT7-1</f>
        <v>0.36488524943432821</v>
      </c>
      <c r="BD7" s="1">
        <v>253.35</v>
      </c>
      <c r="BE7" s="1">
        <v>243.14</v>
      </c>
      <c r="BF7" s="1">
        <v>234.89</v>
      </c>
      <c r="BG7" s="1">
        <v>234.76</v>
      </c>
      <c r="BH7" s="1">
        <v>230.01</v>
      </c>
      <c r="BJ7" s="1">
        <v>216.49</v>
      </c>
      <c r="BK7" s="1">
        <v>221.23</v>
      </c>
      <c r="BL7" s="1">
        <v>222.47</v>
      </c>
      <c r="BM7" s="1">
        <v>221.59</v>
      </c>
      <c r="BN7" s="1">
        <v>227.73</v>
      </c>
      <c r="BO7" s="1">
        <v>224.77</v>
      </c>
      <c r="BP7" s="1">
        <v>224.95</v>
      </c>
      <c r="BQ7" s="1">
        <v>225.42</v>
      </c>
      <c r="BR7" s="1">
        <v>223.07</v>
      </c>
      <c r="BS7" s="1">
        <v>227.23</v>
      </c>
      <c r="BT7" s="1">
        <v>224.94</v>
      </c>
      <c r="BU7" s="1">
        <v>217.13</v>
      </c>
      <c r="BV7" s="1">
        <v>215.4</v>
      </c>
      <c r="BW7" s="1">
        <v>212.93</v>
      </c>
      <c r="BX7" s="1">
        <v>217.72</v>
      </c>
      <c r="BY7" s="1">
        <v>218.63</v>
      </c>
      <c r="BZ7" s="1">
        <v>215.4</v>
      </c>
      <c r="CA7" s="1">
        <v>213.12</v>
      </c>
      <c r="CB7" s="1">
        <v>215.7</v>
      </c>
      <c r="CC7" s="1">
        <v>214.5</v>
      </c>
      <c r="CD7" s="1">
        <v>212.3</v>
      </c>
      <c r="CE7" s="1">
        <v>213.76</v>
      </c>
      <c r="CF7" s="1">
        <v>209.41</v>
      </c>
      <c r="CG7" s="1">
        <v>210.39</v>
      </c>
      <c r="CH7" s="1">
        <v>210.77</v>
      </c>
      <c r="CI7" s="1">
        <v>208.5</v>
      </c>
      <c r="CJ7" s="1">
        <v>207.86</v>
      </c>
      <c r="CK7" s="1">
        <v>202.78</v>
      </c>
      <c r="CL7" s="1">
        <v>201.55</v>
      </c>
      <c r="CM7" s="1">
        <v>202.71</v>
      </c>
      <c r="CN7" s="1">
        <v>205.03</v>
      </c>
      <c r="CO7" s="1">
        <v>206.11</v>
      </c>
      <c r="CP7" s="1">
        <v>208.16</v>
      </c>
      <c r="CQ7" s="1">
        <v>206.6</v>
      </c>
      <c r="CR7" s="1">
        <v>211.32</v>
      </c>
      <c r="CS7" s="1">
        <v>203.89</v>
      </c>
      <c r="CT7" s="1">
        <v>197.69</v>
      </c>
      <c r="CU7" s="1">
        <v>197.38</v>
      </c>
      <c r="CV7" s="1">
        <v>198.71</v>
      </c>
      <c r="CW7" s="1">
        <v>200.95</v>
      </c>
      <c r="CX7" s="1">
        <v>200.5</v>
      </c>
      <c r="CY7" s="1">
        <v>205.12</v>
      </c>
      <c r="CZ7" s="1">
        <v>203.71</v>
      </c>
      <c r="DA7" s="1">
        <v>208.38</v>
      </c>
      <c r="DB7" s="1">
        <v>208.99</v>
      </c>
      <c r="DC7" s="1">
        <v>208.42</v>
      </c>
      <c r="DD7" s="1">
        <v>210.26</v>
      </c>
      <c r="DE7" s="1">
        <v>206.47</v>
      </c>
      <c r="DF7" s="1">
        <v>207.94</v>
      </c>
      <c r="DG7" s="1">
        <v>212.4</v>
      </c>
      <c r="DH7" s="1">
        <v>211.59</v>
      </c>
      <c r="DI7" s="1">
        <v>206.37</v>
      </c>
      <c r="DJ7" s="1">
        <v>206.69</v>
      </c>
      <c r="DK7" s="1">
        <v>208.84</v>
      </c>
      <c r="DL7" s="1">
        <v>214.98</v>
      </c>
      <c r="DM7" s="1">
        <v>217.49</v>
      </c>
      <c r="DN7" s="1">
        <v>213.12</v>
      </c>
      <c r="DO7" s="1">
        <v>209.4</v>
      </c>
      <c r="DP7" s="1">
        <v>211.12</v>
      </c>
      <c r="DQ7" s="1">
        <v>207.18</v>
      </c>
      <c r="DR7" s="1">
        <v>205.2</v>
      </c>
      <c r="DS7" s="1">
        <v>204.93</v>
      </c>
      <c r="DT7" s="1">
        <v>205.07</v>
      </c>
      <c r="DU7" s="1">
        <v>206.23</v>
      </c>
      <c r="DV7" s="1">
        <v>208.34</v>
      </c>
      <c r="DW7" s="1">
        <v>219.76</v>
      </c>
      <c r="DX7" s="1">
        <v>221.45</v>
      </c>
      <c r="DY7" s="1">
        <v>219.68</v>
      </c>
      <c r="DZ7" s="1">
        <v>225.37</v>
      </c>
      <c r="EA7" s="1">
        <v>227.68</v>
      </c>
      <c r="EB7" s="1">
        <v>227.01</v>
      </c>
      <c r="EC7" s="1">
        <v>227.45</v>
      </c>
      <c r="ED7" s="1">
        <v>230.11</v>
      </c>
      <c r="EE7" s="1">
        <v>232.35</v>
      </c>
      <c r="EF7" s="1">
        <v>236.19</v>
      </c>
      <c r="EG7" s="1">
        <v>233.86</v>
      </c>
      <c r="EH7" s="1">
        <v>234.26</v>
      </c>
      <c r="EI7" s="1">
        <v>232.08</v>
      </c>
      <c r="EJ7" s="1">
        <v>224.69</v>
      </c>
      <c r="EK7" s="1">
        <v>226.92</v>
      </c>
      <c r="EL7" s="1">
        <v>228.44</v>
      </c>
      <c r="EM7" s="1">
        <v>229.48</v>
      </c>
      <c r="EN7" s="1">
        <v>224.81</v>
      </c>
      <c r="EO7" s="1">
        <v>224.35</v>
      </c>
      <c r="EP7" s="1">
        <v>228.72</v>
      </c>
      <c r="EQ7" s="1">
        <v>232.86</v>
      </c>
      <c r="ER7" s="1">
        <v>231.5</v>
      </c>
      <c r="ES7" s="1">
        <v>227.5</v>
      </c>
      <c r="ET7" s="1">
        <v>220.89</v>
      </c>
      <c r="EU7" s="1">
        <v>222.44</v>
      </c>
      <c r="EV7" s="1">
        <v>223.26</v>
      </c>
      <c r="EW7" s="1">
        <v>223.43</v>
      </c>
      <c r="EX7" s="1">
        <v>219.02</v>
      </c>
      <c r="EY7" s="1">
        <v>217.11</v>
      </c>
      <c r="EZ7" s="1">
        <v>225.66</v>
      </c>
      <c r="FA7" s="1">
        <v>225.64</v>
      </c>
      <c r="FB7" s="1">
        <v>223.01</v>
      </c>
      <c r="FC7" s="1">
        <v>220.43</v>
      </c>
      <c r="FD7" s="1">
        <v>218.67</v>
      </c>
      <c r="FE7" s="1">
        <v>223.93</v>
      </c>
      <c r="FF7" s="1">
        <v>220.77</v>
      </c>
      <c r="FG7" s="1">
        <v>219.26</v>
      </c>
      <c r="FH7" s="1">
        <v>218.11</v>
      </c>
      <c r="FI7" s="1">
        <v>216.15</v>
      </c>
      <c r="FJ7" s="1">
        <v>214.04</v>
      </c>
      <c r="FK7" s="1">
        <v>214.35</v>
      </c>
      <c r="FL7" s="1">
        <v>216.75</v>
      </c>
      <c r="FM7" s="1">
        <v>221.89</v>
      </c>
      <c r="FN7" s="1">
        <v>220.75</v>
      </c>
      <c r="FO7" s="1">
        <v>220.04</v>
      </c>
      <c r="FP7" s="1">
        <v>220.08</v>
      </c>
      <c r="FQ7" s="1">
        <v>224.13</v>
      </c>
      <c r="FR7" s="1">
        <v>233.42</v>
      </c>
      <c r="FS7" s="1">
        <v>223.93</v>
      </c>
      <c r="FT7" s="1">
        <v>220.18</v>
      </c>
      <c r="FU7" s="1">
        <v>229.31</v>
      </c>
      <c r="FV7" s="1">
        <v>228.49</v>
      </c>
      <c r="FW7" s="1">
        <v>229.74</v>
      </c>
      <c r="FX7" s="1">
        <v>230.84</v>
      </c>
      <c r="FY7" s="1">
        <v>229.98</v>
      </c>
      <c r="FZ7" s="1">
        <v>229.89</v>
      </c>
      <c r="GA7" s="1">
        <v>228.79</v>
      </c>
      <c r="GB7" s="1">
        <v>227.91</v>
      </c>
      <c r="GC7" s="1">
        <v>226.82</v>
      </c>
      <c r="GD7" s="1">
        <v>222.82</v>
      </c>
      <c r="GE7" s="1">
        <v>224.31</v>
      </c>
      <c r="GF7" s="1">
        <v>223.67</v>
      </c>
      <c r="GG7" s="1">
        <v>227.45</v>
      </c>
      <c r="GH7" s="1">
        <v>223.32</v>
      </c>
      <c r="GI7" s="1">
        <v>223.98</v>
      </c>
      <c r="GJ7" s="1">
        <v>225.18</v>
      </c>
      <c r="GK7" s="1">
        <v>222.99</v>
      </c>
      <c r="GL7" s="1">
        <v>223.12</v>
      </c>
      <c r="GM7" s="1">
        <v>226.08</v>
      </c>
      <c r="GN7" s="1">
        <v>228.71</v>
      </c>
      <c r="GO7" s="1">
        <v>230.24</v>
      </c>
      <c r="GP7" s="1">
        <v>224.37</v>
      </c>
      <c r="GQ7" s="1">
        <v>225.11</v>
      </c>
      <c r="GR7" s="1">
        <v>227.7</v>
      </c>
      <c r="GS7" s="1">
        <v>227.66</v>
      </c>
      <c r="GT7" s="1">
        <v>231.8</v>
      </c>
      <c r="GU7" s="1">
        <v>229.51</v>
      </c>
      <c r="GV7" s="1">
        <v>236.28</v>
      </c>
      <c r="GW7" s="1">
        <v>229.45</v>
      </c>
      <c r="GX7" s="1">
        <v>232.91</v>
      </c>
      <c r="GY7" s="1">
        <v>233.87</v>
      </c>
      <c r="GZ7" s="1">
        <v>234</v>
      </c>
      <c r="HA7" s="1">
        <v>232.36</v>
      </c>
      <c r="HB7" s="1">
        <v>232.29</v>
      </c>
      <c r="HC7" s="1">
        <v>233.23</v>
      </c>
      <c r="HD7" s="1">
        <v>225.17</v>
      </c>
      <c r="HE7" s="1">
        <v>218.71</v>
      </c>
      <c r="HF7" s="1">
        <v>219.16</v>
      </c>
      <c r="HG7" s="1">
        <v>219.04</v>
      </c>
      <c r="HH7" s="1">
        <v>216.77</v>
      </c>
      <c r="HI7" s="1">
        <v>215.89</v>
      </c>
      <c r="HJ7" s="1">
        <v>211.96</v>
      </c>
      <c r="HK7" s="1">
        <v>218.04</v>
      </c>
      <c r="HL7" s="1">
        <v>228.2</v>
      </c>
      <c r="HM7" s="1">
        <v>225.14</v>
      </c>
      <c r="HN7" s="1">
        <v>227.54</v>
      </c>
      <c r="HO7" s="1">
        <v>228.03</v>
      </c>
      <c r="HP7" s="1">
        <v>227.99</v>
      </c>
      <c r="HQ7" s="1">
        <v>228.25</v>
      </c>
      <c r="HR7" s="1">
        <v>228.68</v>
      </c>
      <c r="HS7" s="1">
        <v>231.39</v>
      </c>
      <c r="HT7" s="1">
        <v>232.06</v>
      </c>
      <c r="HU7" s="1">
        <v>229.57</v>
      </c>
      <c r="HV7" s="1">
        <v>226.87</v>
      </c>
      <c r="HW7" s="1">
        <v>226.22</v>
      </c>
      <c r="HX7" s="1">
        <v>229.13</v>
      </c>
      <c r="HY7" s="1">
        <v>230.3</v>
      </c>
      <c r="HZ7" s="1">
        <v>230.5</v>
      </c>
      <c r="IA7" s="1">
        <v>230.69</v>
      </c>
      <c r="IB7" s="1">
        <v>231.24</v>
      </c>
      <c r="IC7" s="1">
        <v>232.83</v>
      </c>
      <c r="ID7" s="1">
        <v>230.19</v>
      </c>
      <c r="IE7" s="1">
        <v>233.91</v>
      </c>
      <c r="IF7" s="1">
        <v>236.56</v>
      </c>
      <c r="IG7" s="1">
        <v>244.38</v>
      </c>
      <c r="IH7" s="1">
        <v>231.54</v>
      </c>
      <c r="II7" s="1">
        <v>223.16</v>
      </c>
      <c r="IJ7" s="1">
        <v>220.61</v>
      </c>
      <c r="IK7" s="1">
        <v>218.54</v>
      </c>
      <c r="IL7" s="1">
        <v>219.99</v>
      </c>
      <c r="IM7" s="1">
        <v>222.61</v>
      </c>
      <c r="IN7" s="1">
        <v>222.59</v>
      </c>
      <c r="IO7" s="1">
        <v>222.47</v>
      </c>
      <c r="IP7" s="1">
        <v>221.99</v>
      </c>
      <c r="IQ7" s="1">
        <v>220.81</v>
      </c>
      <c r="IR7" s="1">
        <v>216.26</v>
      </c>
      <c r="IS7" s="1">
        <v>217.61</v>
      </c>
      <c r="IT7" s="1">
        <v>218.34</v>
      </c>
      <c r="IU7" s="1">
        <v>220.22</v>
      </c>
      <c r="IV7" s="1">
        <v>211.64</v>
      </c>
      <c r="IW7" s="1">
        <v>210.42</v>
      </c>
      <c r="IX7" s="1">
        <v>209.79</v>
      </c>
      <c r="IY7" s="1">
        <v>212.56</v>
      </c>
      <c r="IZ7" s="1">
        <v>213</v>
      </c>
      <c r="JA7" s="1">
        <v>211.86</v>
      </c>
      <c r="JB7" s="1">
        <v>211.92</v>
      </c>
      <c r="JC7" s="1">
        <v>210.4</v>
      </c>
      <c r="JD7" s="1">
        <v>207.92</v>
      </c>
      <c r="JE7" s="1">
        <v>208.06</v>
      </c>
      <c r="JF7" s="1">
        <v>208.36</v>
      </c>
      <c r="JG7" s="1">
        <v>207.55</v>
      </c>
      <c r="JH7" s="1">
        <v>210.6</v>
      </c>
      <c r="JI7" s="1">
        <v>209.5</v>
      </c>
      <c r="JJ7" s="1">
        <v>209.15</v>
      </c>
      <c r="JK7" s="1">
        <v>206.19</v>
      </c>
      <c r="JL7" s="1">
        <v>206.57</v>
      </c>
      <c r="JM7" s="1">
        <v>206.69</v>
      </c>
      <c r="JN7" s="1">
        <v>204.68</v>
      </c>
      <c r="JO7" s="1">
        <v>201.47</v>
      </c>
      <c r="JP7" s="1">
        <v>198.64</v>
      </c>
      <c r="JQ7" s="1">
        <v>198.64</v>
      </c>
      <c r="JR7" s="1">
        <v>198.05</v>
      </c>
      <c r="JS7" s="1">
        <v>198.86</v>
      </c>
      <c r="JT7" s="1">
        <v>196.3</v>
      </c>
      <c r="JU7" s="1">
        <v>198.55</v>
      </c>
      <c r="JV7" s="1">
        <v>197.19</v>
      </c>
      <c r="JW7" s="1">
        <v>195.22</v>
      </c>
      <c r="JX7" s="1">
        <v>189.02</v>
      </c>
      <c r="JY7" s="1">
        <v>189.31</v>
      </c>
      <c r="JZ7" s="1">
        <v>191.22</v>
      </c>
      <c r="KA7" s="1">
        <v>188.52</v>
      </c>
      <c r="KB7" s="1">
        <v>190.28</v>
      </c>
      <c r="KC7" s="1">
        <v>190.83</v>
      </c>
      <c r="KD7" s="1">
        <v>190.55</v>
      </c>
      <c r="KE7" s="1">
        <v>187.11</v>
      </c>
      <c r="KF7" s="1">
        <v>184.85</v>
      </c>
      <c r="KG7" s="1">
        <v>189.26</v>
      </c>
      <c r="KH7" s="1">
        <v>191.4</v>
      </c>
      <c r="KI7" s="1">
        <v>190.58</v>
      </c>
      <c r="KJ7" s="1">
        <v>186.39</v>
      </c>
      <c r="KK7" s="1">
        <v>191.52</v>
      </c>
      <c r="KL7" s="1">
        <v>192.45</v>
      </c>
      <c r="KM7" s="1">
        <v>195</v>
      </c>
      <c r="KN7" s="1">
        <v>190.62</v>
      </c>
      <c r="KO7" s="1">
        <v>189.77</v>
      </c>
      <c r="KP7" s="1">
        <v>187.63</v>
      </c>
      <c r="KQ7" s="1">
        <v>189.28</v>
      </c>
      <c r="KR7" s="1">
        <v>190.75</v>
      </c>
      <c r="KS7" s="1">
        <v>189.99</v>
      </c>
      <c r="KT7" s="1">
        <v>185.62</v>
      </c>
    </row>
    <row r="8" spans="1:307" x14ac:dyDescent="0.25">
      <c r="A8" t="s">
        <v>330</v>
      </c>
      <c r="B8"/>
      <c r="C8"/>
      <c r="D8" s="1">
        <v>4</v>
      </c>
      <c r="E8" s="13" t="s">
        <v>25</v>
      </c>
      <c r="F8" s="1" t="s">
        <v>26</v>
      </c>
      <c r="G8" s="7">
        <v>128.58000000000001</v>
      </c>
      <c r="H8" s="6">
        <f>+G8*L8</f>
        <v>317570.02328070003</v>
      </c>
      <c r="I8" s="6">
        <f>+[4]Main!$J$5-[4]Main!$J$6</f>
        <v>-45543</v>
      </c>
      <c r="J8" s="6">
        <f t="shared" si="1"/>
        <v>363113.02328070003</v>
      </c>
      <c r="K8" s="3" t="s">
        <v>2079</v>
      </c>
      <c r="L8" s="6">
        <f>+[4]Main!$J$3</f>
        <v>2469.824415</v>
      </c>
      <c r="M8" s="9">
        <v>46243</v>
      </c>
      <c r="N8" s="7">
        <f>[4]Model!$EQ$115</f>
        <v>82.70945144197718</v>
      </c>
      <c r="O8" s="10">
        <f>N8/G8-1</f>
        <v>-0.35674715008572744</v>
      </c>
      <c r="P8" s="10">
        <f>[4]Model!$EQ$111</f>
        <v>0.01</v>
      </c>
      <c r="Q8" s="10">
        <f>[4]Model!$EQ$112</f>
        <v>-0.01</v>
      </c>
      <c r="R8" s="10">
        <f>[4]Model!$EQ$113</f>
        <v>7.0000000000000007E-2</v>
      </c>
      <c r="S8" s="11">
        <f t="shared" ref="S8:V9" si="3">($J8/$L8)/AB8</f>
        <v>21.557151373516277</v>
      </c>
      <c r="T8" s="11">
        <f t="shared" si="3"/>
        <v>21.748487036594828</v>
      </c>
      <c r="U8" s="11">
        <f t="shared" si="3"/>
        <v>21.002824623911575</v>
      </c>
      <c r="V8" s="11">
        <f t="shared" si="3"/>
        <v>18.286041339226497</v>
      </c>
      <c r="W8" s="114">
        <f t="shared" ref="W8" si="4">($J8/$L8)/AF8</f>
        <v>15.125490984298459</v>
      </c>
      <c r="X8" s="119">
        <f t="shared" ref="X8" si="5">($J8/$L8)/AG8</f>
        <v>15.410877606643714</v>
      </c>
      <c r="Y8" s="11">
        <f t="shared" ref="Y8" si="6">($J8/$L8)/AH8</f>
        <v>14.068877738505362</v>
      </c>
      <c r="Z8" s="11">
        <f t="shared" ref="Z8" si="7">($J8/$L8)/AI8</f>
        <v>14.55641310568129</v>
      </c>
      <c r="AA8" s="11">
        <f t="shared" ref="AA8" si="8">($J8/$L8)/AJ8</f>
        <v>14.643403622249107</v>
      </c>
      <c r="AB8" s="125">
        <v>6.82</v>
      </c>
      <c r="AC8" s="61">
        <v>6.76</v>
      </c>
      <c r="AD8" s="61">
        <v>7</v>
      </c>
      <c r="AE8" s="61">
        <v>8.0399999999999991</v>
      </c>
      <c r="AF8" s="61">
        <v>9.7200000000000006</v>
      </c>
      <c r="AG8" s="61">
        <v>9.5399999999999991</v>
      </c>
      <c r="AH8" s="61">
        <v>10.45</v>
      </c>
      <c r="AI8" s="61">
        <v>10.1</v>
      </c>
      <c r="AJ8" s="61">
        <v>10.039999999999999</v>
      </c>
      <c r="AK8" s="61">
        <v>9.7899999999999991</v>
      </c>
      <c r="AL8">
        <v>1919</v>
      </c>
      <c r="AM8" t="s">
        <v>2219</v>
      </c>
      <c r="AN8" s="1" t="s">
        <v>2042</v>
      </c>
      <c r="AO8" s="10">
        <f>BD8/FV8-1</f>
        <v>0.22230666920007591</v>
      </c>
      <c r="AP8" s="10">
        <f>BD8/BX8-1</f>
        <v>8.3726415094339535E-2</v>
      </c>
      <c r="AQ8" s="10">
        <f>BD8/CA8-1</f>
        <v>7.4674239893083749E-2</v>
      </c>
      <c r="AR8" s="122">
        <f>BD8/KT8-1</f>
        <v>0.62531581606872155</v>
      </c>
      <c r="BD8" s="1">
        <v>128.66</v>
      </c>
      <c r="BE8" s="1">
        <v>125.45</v>
      </c>
      <c r="BF8" s="1">
        <v>120.6</v>
      </c>
      <c r="BG8" s="1">
        <v>119.6</v>
      </c>
      <c r="BH8" s="1">
        <v>115.48</v>
      </c>
      <c r="BJ8" s="1">
        <v>113.87</v>
      </c>
      <c r="BK8" s="1">
        <v>115.44</v>
      </c>
      <c r="BL8" s="1">
        <v>115.17</v>
      </c>
      <c r="BM8" s="1">
        <v>114.9</v>
      </c>
      <c r="BN8" s="1">
        <v>119.05</v>
      </c>
      <c r="BO8" s="1">
        <v>120.76</v>
      </c>
      <c r="BP8" s="1">
        <v>119.09</v>
      </c>
      <c r="BQ8" s="1">
        <v>119.6</v>
      </c>
      <c r="BR8" s="1">
        <v>119.52</v>
      </c>
      <c r="BS8" s="1">
        <v>120.79</v>
      </c>
      <c r="BT8" s="1">
        <v>120.26</v>
      </c>
      <c r="BU8" s="1">
        <v>114.7</v>
      </c>
      <c r="BV8" s="1">
        <v>115.65</v>
      </c>
      <c r="BW8" s="1">
        <v>115.17</v>
      </c>
      <c r="BX8" s="1">
        <v>118.72</v>
      </c>
      <c r="BY8" s="1">
        <v>119.89</v>
      </c>
      <c r="BZ8" s="1">
        <v>120.24</v>
      </c>
      <c r="CA8" s="1">
        <v>119.72</v>
      </c>
      <c r="CB8" s="1">
        <v>122.41</v>
      </c>
      <c r="CC8" s="1">
        <v>115.88</v>
      </c>
      <c r="CD8" s="1">
        <v>113</v>
      </c>
      <c r="CE8" s="1">
        <v>114.24</v>
      </c>
      <c r="CF8" s="1">
        <v>112.56</v>
      </c>
      <c r="CG8" s="1">
        <v>111.38</v>
      </c>
      <c r="CH8" s="1">
        <v>113.41</v>
      </c>
      <c r="CI8" s="1">
        <v>113.45</v>
      </c>
      <c r="CJ8" s="1">
        <v>112.37</v>
      </c>
      <c r="CK8" s="1">
        <v>111.28</v>
      </c>
      <c r="CL8" s="1">
        <v>111.38</v>
      </c>
      <c r="CM8" s="1">
        <v>112.3</v>
      </c>
      <c r="CN8" s="1">
        <v>113.56</v>
      </c>
      <c r="CO8" s="1">
        <v>113.15</v>
      </c>
      <c r="CP8" s="1">
        <v>113.11</v>
      </c>
      <c r="CQ8" s="1">
        <v>112.16</v>
      </c>
      <c r="CR8" s="1">
        <v>109.18</v>
      </c>
      <c r="CS8" s="1">
        <v>110.95</v>
      </c>
      <c r="CT8" s="1">
        <v>110.03</v>
      </c>
      <c r="CU8" s="1">
        <v>110.23</v>
      </c>
      <c r="CV8" s="1">
        <v>111.9</v>
      </c>
      <c r="CW8" s="1">
        <v>114.62</v>
      </c>
      <c r="CX8" s="1">
        <v>112.89</v>
      </c>
      <c r="CY8" s="1">
        <v>112.56</v>
      </c>
      <c r="CZ8" s="1">
        <v>117.1</v>
      </c>
      <c r="DA8" s="1">
        <v>119.07</v>
      </c>
      <c r="DB8" s="1">
        <v>115.46</v>
      </c>
      <c r="DC8" s="1">
        <v>117.9</v>
      </c>
      <c r="DD8" s="1">
        <v>119.96</v>
      </c>
      <c r="DE8" s="1">
        <v>120.15</v>
      </c>
      <c r="DF8" s="1">
        <v>121.42</v>
      </c>
      <c r="DG8" s="1">
        <v>122.68</v>
      </c>
      <c r="DH8" s="1">
        <v>123.18</v>
      </c>
      <c r="DI8" s="1">
        <v>119.28</v>
      </c>
      <c r="DJ8" s="1">
        <v>120.85</v>
      </c>
      <c r="DK8" s="1">
        <v>120.87</v>
      </c>
      <c r="DL8" s="1">
        <v>120.84</v>
      </c>
      <c r="DM8" s="1">
        <v>120.29</v>
      </c>
      <c r="DN8" s="1">
        <v>118.1</v>
      </c>
      <c r="DO8" s="1">
        <v>119.63</v>
      </c>
      <c r="DP8" s="1">
        <v>118.93</v>
      </c>
      <c r="DQ8" s="1">
        <v>119.37</v>
      </c>
      <c r="DR8" s="1">
        <v>116.37</v>
      </c>
      <c r="DS8" s="1">
        <v>115.68</v>
      </c>
      <c r="DT8" s="1">
        <v>114.18</v>
      </c>
      <c r="DU8" s="1">
        <v>114.2</v>
      </c>
      <c r="DV8" s="1">
        <v>114.5</v>
      </c>
      <c r="DW8" s="1">
        <v>115.87</v>
      </c>
      <c r="DX8" s="1">
        <v>115.43</v>
      </c>
      <c r="DY8" s="1">
        <v>115.61</v>
      </c>
      <c r="DZ8" s="1">
        <v>115.91</v>
      </c>
      <c r="EA8" s="1">
        <v>116.21</v>
      </c>
      <c r="EB8" s="1">
        <v>117.09</v>
      </c>
      <c r="EC8" s="1">
        <v>117.11</v>
      </c>
      <c r="ED8" s="1">
        <v>115.79</v>
      </c>
      <c r="EE8" s="1">
        <v>116.07</v>
      </c>
      <c r="EF8" s="1">
        <v>120.28</v>
      </c>
      <c r="EG8" s="1">
        <v>119.83</v>
      </c>
      <c r="EH8" s="1">
        <v>121.41</v>
      </c>
      <c r="EI8" s="1">
        <v>123.82</v>
      </c>
      <c r="EJ8" s="1">
        <v>119.3</v>
      </c>
      <c r="EK8" s="1">
        <v>122.46</v>
      </c>
      <c r="EL8" s="1">
        <v>123.93</v>
      </c>
      <c r="EM8" s="1">
        <v>123.82</v>
      </c>
      <c r="EN8" s="1">
        <v>122.26</v>
      </c>
      <c r="EO8" s="1">
        <v>121.86</v>
      </c>
      <c r="EP8" s="1">
        <v>121.66</v>
      </c>
      <c r="EQ8" s="1">
        <v>121.57</v>
      </c>
      <c r="ER8" s="1">
        <v>121.41</v>
      </c>
      <c r="ES8" s="1">
        <v>119.24</v>
      </c>
      <c r="ET8" s="1">
        <v>119.31</v>
      </c>
      <c r="EU8" s="1">
        <v>117.15</v>
      </c>
      <c r="EV8" s="1">
        <v>117.65</v>
      </c>
      <c r="EW8" s="1">
        <v>121.93</v>
      </c>
      <c r="EX8" s="1">
        <v>119.75</v>
      </c>
      <c r="EY8" s="1">
        <v>118.33</v>
      </c>
      <c r="EZ8" s="1">
        <v>115.84</v>
      </c>
      <c r="FA8" s="1">
        <v>113.37</v>
      </c>
      <c r="FB8" s="1">
        <v>110.27</v>
      </c>
      <c r="FC8" s="1">
        <v>108.34</v>
      </c>
      <c r="FD8" s="1">
        <v>106.9</v>
      </c>
      <c r="FE8" s="1">
        <v>107.92</v>
      </c>
      <c r="FF8" s="1">
        <v>107.4</v>
      </c>
      <c r="FG8" s="1">
        <v>108.18</v>
      </c>
      <c r="FH8" s="1">
        <v>109.18</v>
      </c>
      <c r="FI8" s="1">
        <v>111.11</v>
      </c>
      <c r="FJ8" s="1">
        <v>109.45</v>
      </c>
      <c r="FK8" s="1">
        <v>108.83</v>
      </c>
      <c r="FL8" s="1">
        <v>110.97</v>
      </c>
      <c r="FM8" s="1">
        <v>111.01</v>
      </c>
      <c r="FN8" s="1">
        <v>108.26</v>
      </c>
      <c r="FO8" s="1">
        <v>109.19</v>
      </c>
      <c r="FP8" s="1">
        <v>110.53</v>
      </c>
      <c r="FQ8" s="1">
        <v>110.99</v>
      </c>
      <c r="FR8" s="1">
        <v>108.6</v>
      </c>
      <c r="FS8" s="1">
        <v>108.87</v>
      </c>
      <c r="FT8" s="1">
        <v>107.44</v>
      </c>
      <c r="FU8" s="1">
        <v>106.45</v>
      </c>
      <c r="FV8" s="1">
        <v>105.26</v>
      </c>
      <c r="FW8" s="1">
        <v>106.06</v>
      </c>
      <c r="FX8" s="1">
        <v>106.62</v>
      </c>
      <c r="FY8" s="1">
        <v>106.78</v>
      </c>
      <c r="FZ8" s="1">
        <v>106.45</v>
      </c>
      <c r="GA8" s="1">
        <v>105.04</v>
      </c>
      <c r="GB8" s="1">
        <v>104.72</v>
      </c>
      <c r="GC8" s="1">
        <v>101.09</v>
      </c>
      <c r="GD8" s="1">
        <v>100.69</v>
      </c>
      <c r="GE8" s="1">
        <v>99.18</v>
      </c>
      <c r="GF8" s="1">
        <v>98.27</v>
      </c>
      <c r="GG8" s="1">
        <v>100.26</v>
      </c>
      <c r="GH8" s="1">
        <v>100.3</v>
      </c>
      <c r="GI8" s="1">
        <v>99.01</v>
      </c>
      <c r="GJ8" s="1">
        <v>97.62</v>
      </c>
      <c r="GK8" s="1">
        <v>96.89</v>
      </c>
      <c r="GL8" s="1">
        <v>98.93</v>
      </c>
      <c r="GM8" s="1">
        <v>99.72</v>
      </c>
      <c r="GN8" s="1">
        <v>100.89</v>
      </c>
      <c r="GO8" s="1">
        <v>102.27</v>
      </c>
      <c r="GP8" s="1">
        <v>101.03</v>
      </c>
      <c r="GQ8" s="1">
        <v>101.83</v>
      </c>
      <c r="GR8" s="1">
        <v>104.83</v>
      </c>
      <c r="GS8" s="1">
        <v>104.63</v>
      </c>
      <c r="GT8" s="1">
        <v>105.66</v>
      </c>
      <c r="GU8" s="1">
        <v>100.4</v>
      </c>
      <c r="GV8" s="1">
        <v>97.76</v>
      </c>
      <c r="GW8" s="1">
        <v>94.97</v>
      </c>
      <c r="GX8" s="1">
        <v>95.05</v>
      </c>
      <c r="GY8" s="1">
        <v>96.43</v>
      </c>
      <c r="GZ8" s="1">
        <v>92.86</v>
      </c>
      <c r="HA8" s="1">
        <v>92.92</v>
      </c>
      <c r="HB8" s="1">
        <v>92.93</v>
      </c>
      <c r="HC8" s="1">
        <v>91.45</v>
      </c>
      <c r="HD8" s="1">
        <v>90.95</v>
      </c>
      <c r="HE8" s="1">
        <v>86.75</v>
      </c>
      <c r="HF8" s="1">
        <v>86.28</v>
      </c>
      <c r="HG8" s="1">
        <v>85.78</v>
      </c>
      <c r="HH8" s="1">
        <v>84.39</v>
      </c>
      <c r="HI8" s="1">
        <v>83.86</v>
      </c>
      <c r="HJ8" s="1">
        <v>82.49</v>
      </c>
      <c r="HK8" s="1">
        <v>85.98</v>
      </c>
      <c r="HL8" s="1">
        <v>86.28</v>
      </c>
      <c r="HM8" s="1">
        <v>86.58</v>
      </c>
      <c r="HN8" s="1">
        <v>87.03</v>
      </c>
      <c r="HO8" s="1">
        <v>88</v>
      </c>
      <c r="HP8" s="1">
        <v>87.49</v>
      </c>
      <c r="HQ8" s="1">
        <v>87.18</v>
      </c>
      <c r="HR8" s="1">
        <v>87.61</v>
      </c>
      <c r="HS8" s="1">
        <v>87.62</v>
      </c>
      <c r="HT8" s="1">
        <v>86.32</v>
      </c>
      <c r="HU8" s="1">
        <v>84.79</v>
      </c>
      <c r="HV8" s="1">
        <v>83.92</v>
      </c>
      <c r="HW8" s="1">
        <v>84.11</v>
      </c>
      <c r="HX8" s="1">
        <v>84.7</v>
      </c>
      <c r="HY8" s="1">
        <v>85.7</v>
      </c>
      <c r="HZ8" s="1">
        <v>85.99</v>
      </c>
      <c r="IA8" s="1">
        <v>87.5</v>
      </c>
      <c r="IB8" s="1">
        <v>86.4</v>
      </c>
      <c r="IC8" s="1">
        <v>87.61</v>
      </c>
      <c r="ID8" s="1">
        <v>88.8</v>
      </c>
      <c r="IE8" s="1">
        <v>89.19</v>
      </c>
      <c r="IF8" s="1">
        <v>89.51</v>
      </c>
      <c r="IG8" s="1">
        <v>90.13</v>
      </c>
      <c r="IH8" s="1">
        <v>83.93</v>
      </c>
      <c r="II8" s="1">
        <v>78.58</v>
      </c>
      <c r="IJ8" s="1">
        <v>78.56</v>
      </c>
      <c r="IK8" s="1">
        <v>77.599999999999994</v>
      </c>
      <c r="IL8" s="1">
        <v>79.67</v>
      </c>
      <c r="IM8" s="1">
        <v>79.959999999999994</v>
      </c>
      <c r="IN8" s="1">
        <v>80.400000000000006</v>
      </c>
      <c r="IO8" s="1">
        <v>81.510000000000005</v>
      </c>
      <c r="IP8" s="1">
        <v>81.53</v>
      </c>
      <c r="IQ8" s="1">
        <v>81.14</v>
      </c>
      <c r="IR8" s="1">
        <v>81.09</v>
      </c>
      <c r="IS8" s="1">
        <v>81.02</v>
      </c>
      <c r="IT8" s="1">
        <v>82.81</v>
      </c>
      <c r="IU8" s="1">
        <v>85.15</v>
      </c>
      <c r="IV8" s="1">
        <v>84.03</v>
      </c>
      <c r="IW8" s="1">
        <v>84.61</v>
      </c>
      <c r="IX8" s="1">
        <v>84.09</v>
      </c>
      <c r="IY8" s="1">
        <v>84.71</v>
      </c>
      <c r="IZ8" s="1">
        <v>84.05</v>
      </c>
      <c r="JA8" s="1">
        <v>84.18</v>
      </c>
      <c r="JB8" s="1">
        <v>85.48</v>
      </c>
      <c r="JC8" s="1">
        <v>84.12</v>
      </c>
      <c r="JD8" s="1">
        <v>83.21</v>
      </c>
      <c r="JE8" s="1">
        <v>84.07</v>
      </c>
      <c r="JF8" s="1">
        <v>84.99</v>
      </c>
      <c r="JG8" s="1">
        <v>85.31</v>
      </c>
      <c r="JH8" s="1">
        <v>87.37</v>
      </c>
      <c r="JI8" s="1">
        <v>86.08</v>
      </c>
      <c r="JJ8" s="1">
        <v>84.66</v>
      </c>
      <c r="JK8" s="1">
        <v>84.93</v>
      </c>
      <c r="JL8" s="1">
        <v>84.22</v>
      </c>
      <c r="JM8" s="1">
        <v>84.21</v>
      </c>
      <c r="JN8" s="1">
        <v>82.76</v>
      </c>
      <c r="JO8" s="1">
        <v>82.71</v>
      </c>
      <c r="JP8" s="1">
        <v>80.3</v>
      </c>
      <c r="JQ8" s="1">
        <v>80.03</v>
      </c>
      <c r="JR8" s="1">
        <v>80.69</v>
      </c>
      <c r="JS8" s="1">
        <v>80.37</v>
      </c>
      <c r="JT8" s="1">
        <v>79.44</v>
      </c>
      <c r="JU8" s="1">
        <v>80.790000000000006</v>
      </c>
      <c r="JV8" s="1">
        <v>79.86</v>
      </c>
      <c r="JW8" s="1">
        <v>79.290000000000006</v>
      </c>
      <c r="JX8" s="1">
        <v>78.12</v>
      </c>
      <c r="JY8" s="1">
        <v>81.75</v>
      </c>
      <c r="JZ8" s="1">
        <v>82.63</v>
      </c>
      <c r="KA8" s="1">
        <v>84.06</v>
      </c>
      <c r="KB8" s="1">
        <v>84.71</v>
      </c>
      <c r="KC8" s="1">
        <v>84.11</v>
      </c>
      <c r="KD8" s="1">
        <v>83.98</v>
      </c>
      <c r="KE8" s="1">
        <v>81.61</v>
      </c>
      <c r="KF8" s="1">
        <v>79.31</v>
      </c>
      <c r="KG8" s="1">
        <v>79.959999999999994</v>
      </c>
      <c r="KH8" s="1">
        <v>81.52</v>
      </c>
      <c r="KI8" s="1">
        <v>82.43</v>
      </c>
      <c r="KJ8" s="1">
        <v>81.52</v>
      </c>
      <c r="KK8" s="1">
        <v>83.67</v>
      </c>
      <c r="KL8" s="1">
        <v>83.36</v>
      </c>
      <c r="KM8" s="1">
        <v>84.02</v>
      </c>
      <c r="KN8" s="1">
        <v>83.71</v>
      </c>
      <c r="KO8" s="1">
        <v>81.37</v>
      </c>
      <c r="KP8" s="1">
        <v>80.900000000000006</v>
      </c>
      <c r="KQ8" s="1">
        <v>80.930000000000007</v>
      </c>
      <c r="KR8" s="1">
        <v>82.39</v>
      </c>
      <c r="KS8" s="1">
        <v>81.81</v>
      </c>
      <c r="KT8" s="1">
        <v>79.16</v>
      </c>
    </row>
    <row r="9" spans="1:307" x14ac:dyDescent="0.25">
      <c r="A9" t="s">
        <v>330</v>
      </c>
      <c r="B9"/>
      <c r="C9"/>
      <c r="D9" s="1">
        <v>5</v>
      </c>
      <c r="E9" s="13" t="s">
        <v>27</v>
      </c>
      <c r="F9" s="1" t="s">
        <v>28</v>
      </c>
      <c r="G9" s="7">
        <v>157.44</v>
      </c>
      <c r="H9" s="6">
        <f>+G9*L9</f>
        <v>301340.15999999997</v>
      </c>
      <c r="I9" s="6">
        <f>+[5]Main!$K$6-[5]Main!$K$7</f>
        <v>-39400</v>
      </c>
      <c r="J9" s="6">
        <f t="shared" si="1"/>
        <v>340740.16</v>
      </c>
      <c r="K9" s="3" t="s">
        <v>2007</v>
      </c>
      <c r="L9" s="6">
        <f>+[5]Main!$K$4</f>
        <v>1914</v>
      </c>
      <c r="M9" s="9">
        <v>46227</v>
      </c>
      <c r="S9" s="11">
        <f t="shared" si="3"/>
        <v>43.848562060214853</v>
      </c>
      <c r="T9" s="11">
        <f t="shared" si="3"/>
        <v>33.275731208312578</v>
      </c>
      <c r="U9" s="11">
        <f t="shared" si="3"/>
        <v>26.650473347974895</v>
      </c>
      <c r="V9" s="11">
        <f t="shared" si="3"/>
        <v>23.180359630790665</v>
      </c>
      <c r="W9" s="114">
        <f t="shared" ref="W9" si="9">($J9/$L9)/AF9</f>
        <v>20.161399995976478</v>
      </c>
      <c r="X9" s="119">
        <f t="shared" ref="X9" si="10">($J9/$L9)/AG9</f>
        <v>18.147315184961496</v>
      </c>
      <c r="Y9" s="11">
        <f t="shared" ref="Y9" si="11">($J9/$L9)/AH9</f>
        <v>16.392740512382346</v>
      </c>
      <c r="Z9" s="11">
        <f t="shared" ref="Z9" si="12">($J9/$L9)/AI9</f>
        <v>15.202831935480127</v>
      </c>
      <c r="AA9" s="11">
        <f t="shared" ref="AA9" si="13">($J9/$L9)/AJ9</f>
        <v>14.438374855188345</v>
      </c>
      <c r="AB9" s="125">
        <v>4.0599999999999996</v>
      </c>
      <c r="AC9" s="61">
        <v>5.35</v>
      </c>
      <c r="AD9" s="61">
        <v>6.68</v>
      </c>
      <c r="AE9" s="61">
        <v>7.68</v>
      </c>
      <c r="AF9" s="61">
        <v>8.83</v>
      </c>
      <c r="AG9" s="61">
        <v>9.81</v>
      </c>
      <c r="AH9" s="61">
        <v>10.86</v>
      </c>
      <c r="AI9" s="61">
        <v>11.71</v>
      </c>
      <c r="AJ9" s="61">
        <v>12.33</v>
      </c>
      <c r="AK9" s="61">
        <v>11.89</v>
      </c>
      <c r="AM9" t="s">
        <v>2221</v>
      </c>
      <c r="AN9" t="s">
        <v>2049</v>
      </c>
    </row>
    <row r="10" spans="1:307" x14ac:dyDescent="0.25">
      <c r="A10" t="s">
        <v>330</v>
      </c>
      <c r="B10"/>
      <c r="C10"/>
      <c r="D10" s="1">
        <f>+D9</f>
        <v>5</v>
      </c>
      <c r="E10" s="13" t="s">
        <v>27</v>
      </c>
      <c r="F10" t="s">
        <v>418</v>
      </c>
      <c r="G10" s="20">
        <v>126.6</v>
      </c>
      <c r="H10" s="6">
        <f>+G10*L10/CHF</f>
        <v>296225.42787286063</v>
      </c>
      <c r="I10" s="6">
        <f>+[5]Main!$K$6-[5]Main!$K$7</f>
        <v>-39400</v>
      </c>
      <c r="J10" s="6">
        <f t="shared" si="1"/>
        <v>335625.42787286063</v>
      </c>
      <c r="K10" s="3" t="s">
        <v>2007</v>
      </c>
      <c r="L10" s="6">
        <f>+[5]Main!$K$4</f>
        <v>1914</v>
      </c>
      <c r="M10" s="9">
        <v>46227</v>
      </c>
      <c r="N10" s="3" t="s">
        <v>1677</v>
      </c>
      <c r="O10" s="3" t="s">
        <v>1677</v>
      </c>
      <c r="P10" s="3" t="s">
        <v>1677</v>
      </c>
      <c r="Q10" s="3" t="s">
        <v>1677</v>
      </c>
      <c r="R10" s="3" t="s">
        <v>1677</v>
      </c>
      <c r="S10" s="4" t="s">
        <v>1677</v>
      </c>
      <c r="T10" s="4" t="s">
        <v>1677</v>
      </c>
      <c r="U10" s="4" t="s">
        <v>1677</v>
      </c>
      <c r="V10" s="4" t="s">
        <v>1677</v>
      </c>
      <c r="W10" s="112" t="s">
        <v>1677</v>
      </c>
      <c r="X10" s="4" t="s">
        <v>1677</v>
      </c>
      <c r="Y10" s="4" t="s">
        <v>1677</v>
      </c>
      <c r="Z10" s="4" t="s">
        <v>1677</v>
      </c>
      <c r="AA10" s="4" t="s">
        <v>1677</v>
      </c>
      <c r="AB10" s="125" t="s">
        <v>1677</v>
      </c>
      <c r="AC10" s="61" t="s">
        <v>1677</v>
      </c>
      <c r="AD10" s="61" t="s">
        <v>1677</v>
      </c>
      <c r="AE10" s="61" t="s">
        <v>1677</v>
      </c>
      <c r="AF10" s="61" t="s">
        <v>1677</v>
      </c>
      <c r="AG10" s="61" t="s">
        <v>1677</v>
      </c>
      <c r="AH10" s="61" t="s">
        <v>1677</v>
      </c>
      <c r="AI10" s="61" t="s">
        <v>1677</v>
      </c>
      <c r="AJ10" s="61" t="s">
        <v>1677</v>
      </c>
      <c r="AK10" s="61" t="s">
        <v>1677</v>
      </c>
      <c r="AM10" t="s">
        <v>2221</v>
      </c>
      <c r="AN10" t="s">
        <v>2049</v>
      </c>
    </row>
    <row r="11" spans="1:307" x14ac:dyDescent="0.25">
      <c r="A11" s="1" t="s">
        <v>330</v>
      </c>
      <c r="B11"/>
      <c r="C11"/>
      <c r="D11" s="1">
        <f>+D10+1</f>
        <v>6</v>
      </c>
      <c r="E11" s="13" t="s">
        <v>20</v>
      </c>
      <c r="F11" s="1" t="s">
        <v>2078</v>
      </c>
      <c r="G11" s="20">
        <v>353.6</v>
      </c>
      <c r="H11" s="6">
        <f>+L11*G11</f>
        <v>281465.60000000003</v>
      </c>
      <c r="I11" s="6">
        <f>+[6]Main!$J$5-[6]Main!$J$6</f>
        <v>-16160</v>
      </c>
      <c r="J11" s="6">
        <f t="shared" si="1"/>
        <v>297625.60000000003</v>
      </c>
      <c r="K11" s="3" t="s">
        <v>2004</v>
      </c>
      <c r="L11" s="6">
        <f>+[6]Main!$J$3</f>
        <v>796</v>
      </c>
      <c r="M11" s="9">
        <v>46227</v>
      </c>
      <c r="N11" s="9"/>
      <c r="O11" s="9"/>
      <c r="P11" s="9"/>
      <c r="Q11" s="9"/>
      <c r="R11" s="9"/>
      <c r="S11" s="4" t="s">
        <v>1677</v>
      </c>
      <c r="T11" s="11" t="s">
        <v>1677</v>
      </c>
      <c r="U11" s="11">
        <f>($J11/$L11)/AD11</f>
        <v>16.435231100557736</v>
      </c>
      <c r="V11" s="11">
        <f>($J11/$L11)/AE11</f>
        <v>19.545295741646026</v>
      </c>
      <c r="W11" s="114">
        <f t="shared" ref="W11" si="14">($J11/$L11)/AF11</f>
        <v>18.310553748172794</v>
      </c>
      <c r="X11" s="119">
        <f t="shared" ref="X11" si="15">($J11/$L11)/AG11</f>
        <v>17.127874829944503</v>
      </c>
      <c r="Y11" s="11">
        <f t="shared" ref="Y11" si="16">($J11/$L11)/AH11</f>
        <v>15.863449619757677</v>
      </c>
      <c r="Z11" s="11">
        <f t="shared" ref="Z11" si="17">($J11/$L11)/AI11</f>
        <v>14.89647440389197</v>
      </c>
      <c r="AA11" s="11">
        <f t="shared" ref="AA11" si="18">($J11/$L11)/AJ11</f>
        <v>14.061734017964968</v>
      </c>
      <c r="AB11" s="125">
        <v>19.55</v>
      </c>
      <c r="AC11" s="61">
        <v>19.27</v>
      </c>
      <c r="AD11" s="61">
        <v>22.75</v>
      </c>
      <c r="AE11" s="61">
        <v>19.13</v>
      </c>
      <c r="AF11" s="61">
        <v>20.420000000000002</v>
      </c>
      <c r="AG11" s="61">
        <v>21.83</v>
      </c>
      <c r="AH11" s="61">
        <v>23.57</v>
      </c>
      <c r="AI11" s="61">
        <v>25.1</v>
      </c>
      <c r="AJ11" s="61">
        <v>26.59</v>
      </c>
      <c r="AK11" s="61">
        <v>28.32</v>
      </c>
      <c r="AL11" s="1">
        <v>1896</v>
      </c>
      <c r="AM11" t="s">
        <v>2221</v>
      </c>
      <c r="AN11" t="s">
        <v>2049</v>
      </c>
      <c r="AO11" s="10"/>
      <c r="AP11" s="10">
        <f>BD11/BW11-1</f>
        <v>5.8601134215501061E-2</v>
      </c>
      <c r="AQ11" s="10">
        <f>BD11/BZ11-1</f>
        <v>1.5412511332729029E-2</v>
      </c>
      <c r="AR11" s="122"/>
      <c r="BD11" s="37">
        <v>336</v>
      </c>
      <c r="BE11" s="37">
        <v>335.3</v>
      </c>
      <c r="BF11" s="37">
        <v>332</v>
      </c>
      <c r="BG11" s="37">
        <v>325.2</v>
      </c>
      <c r="BH11" s="37">
        <v>318.60000000000002</v>
      </c>
      <c r="BI11" s="37">
        <v>319.8</v>
      </c>
      <c r="BJ11" s="37">
        <v>319</v>
      </c>
      <c r="BK11" s="37">
        <v>327.8</v>
      </c>
      <c r="BL11" s="37">
        <v>324</v>
      </c>
      <c r="BM11" s="37">
        <v>326.10000000000002</v>
      </c>
      <c r="BN11" s="37">
        <v>330</v>
      </c>
      <c r="BO11" s="37">
        <v>325.3</v>
      </c>
      <c r="BP11" s="37">
        <v>323.89999999999998</v>
      </c>
      <c r="BQ11" s="37">
        <v>318.8</v>
      </c>
      <c r="BR11" s="37">
        <v>322.7</v>
      </c>
      <c r="BS11" s="37">
        <v>327.10000000000002</v>
      </c>
      <c r="BT11" s="37">
        <v>324.60000000000002</v>
      </c>
      <c r="BU11" s="37">
        <v>311.60000000000002</v>
      </c>
      <c r="BV11" s="37">
        <v>309.7</v>
      </c>
      <c r="BW11" s="37">
        <v>317.39999999999998</v>
      </c>
      <c r="BX11" s="37">
        <v>329.3</v>
      </c>
      <c r="BY11" s="37">
        <v>328.9</v>
      </c>
      <c r="BZ11" s="37">
        <v>330.9</v>
      </c>
      <c r="CA11" s="37">
        <v>331.2</v>
      </c>
      <c r="CB11" s="37">
        <v>334.5</v>
      </c>
      <c r="CC11" s="37">
        <v>330.4</v>
      </c>
      <c r="CD11" s="37">
        <v>328.1</v>
      </c>
      <c r="CE11" s="37">
        <v>329.5</v>
      </c>
      <c r="CF11" s="37">
        <v>321.7</v>
      </c>
      <c r="CG11" s="37">
        <v>322.8</v>
      </c>
      <c r="CI11" s="37">
        <v>320</v>
      </c>
      <c r="CJ11" s="37">
        <v>321.5</v>
      </c>
      <c r="CK11" s="37">
        <v>319.39999999999998</v>
      </c>
      <c r="CL11" s="37">
        <v>315.3</v>
      </c>
      <c r="CM11" s="37">
        <v>318.3</v>
      </c>
      <c r="CN11" s="37">
        <v>321.89999999999998</v>
      </c>
      <c r="CO11" s="37">
        <v>318.5</v>
      </c>
      <c r="CP11" s="37">
        <v>316.5</v>
      </c>
      <c r="CR11" s="37">
        <v>318.39999999999998</v>
      </c>
      <c r="CS11" s="37">
        <v>317.3</v>
      </c>
      <c r="CT11" s="37">
        <v>321.10000000000002</v>
      </c>
      <c r="CU11" s="37">
        <v>321.2</v>
      </c>
      <c r="CV11" s="37">
        <v>322</v>
      </c>
      <c r="CW11" s="37">
        <v>324.89999999999998</v>
      </c>
      <c r="CX11" s="37">
        <v>313.10000000000002</v>
      </c>
      <c r="CY11" s="37">
        <v>317.2</v>
      </c>
      <c r="CZ11" s="37">
        <v>320.89999999999998</v>
      </c>
      <c r="DA11" s="37">
        <v>320</v>
      </c>
      <c r="DB11" s="37">
        <v>313.5</v>
      </c>
      <c r="DC11" s="37">
        <v>317</v>
      </c>
      <c r="DD11" s="37">
        <v>318.10000000000002</v>
      </c>
      <c r="DE11" s="37">
        <v>317.2</v>
      </c>
      <c r="DF11" s="37">
        <v>315.60000000000002</v>
      </c>
      <c r="DG11" s="37">
        <v>316.7</v>
      </c>
      <c r="DH11" s="37">
        <v>314.10000000000002</v>
      </c>
      <c r="DI11" s="37">
        <v>311.3</v>
      </c>
      <c r="DJ11" s="37"/>
      <c r="DK11" s="37">
        <v>318</v>
      </c>
      <c r="DL11" s="37">
        <v>318.3</v>
      </c>
      <c r="DM11" s="37">
        <v>314.7</v>
      </c>
      <c r="DN11" s="37">
        <v>314.10000000000002</v>
      </c>
      <c r="DO11" s="37">
        <v>312.5</v>
      </c>
      <c r="DP11" s="37">
        <v>312.8</v>
      </c>
      <c r="DQ11" s="37">
        <v>312</v>
      </c>
      <c r="DR11" s="37">
        <v>305.8</v>
      </c>
      <c r="DS11" s="37">
        <v>303.89999999999998</v>
      </c>
      <c r="DT11" s="37">
        <v>300.89999999999998</v>
      </c>
      <c r="DU11" s="37">
        <v>305.7</v>
      </c>
      <c r="DV11" s="37">
        <v>314.8</v>
      </c>
      <c r="DW11" s="37">
        <v>323.89999999999998</v>
      </c>
    </row>
    <row r="12" spans="1:307" x14ac:dyDescent="0.25">
      <c r="A12" t="s">
        <v>330</v>
      </c>
      <c r="B12"/>
      <c r="C12"/>
      <c r="D12" s="1">
        <f>+D11+1</f>
        <v>7</v>
      </c>
      <c r="E12" s="13" t="s">
        <v>35</v>
      </c>
      <c r="F12" s="1" t="s">
        <v>36</v>
      </c>
      <c r="G12" s="7">
        <v>169.64</v>
      </c>
      <c r="H12" s="6">
        <f>+G12*L12</f>
        <v>264808.03999999998</v>
      </c>
      <c r="I12" s="6">
        <f>+[7]Main!$K$5-[7]Main!$K$6</f>
        <v>-25944</v>
      </c>
      <c r="J12" s="6">
        <f t="shared" si="1"/>
        <v>290752.03999999998</v>
      </c>
      <c r="K12" s="3" t="s">
        <v>2007</v>
      </c>
      <c r="L12" s="6">
        <f>+[7]Main!$K$3</f>
        <v>1561</v>
      </c>
      <c r="M12" s="9">
        <v>46227</v>
      </c>
      <c r="S12" s="11">
        <f>($J12/$L12)/AB12</f>
        <v>175.71708991575306</v>
      </c>
      <c r="T12" s="11">
        <f>($J12/$L12)/AC12</f>
        <v>97.010476724322018</v>
      </c>
      <c r="U12" s="11">
        <f>($J12/$L12)/AD12</f>
        <v>82.052914233787789</v>
      </c>
      <c r="V12" s="11">
        <f>($J12/$L12)/AE12</f>
        <v>41.299360379312255</v>
      </c>
      <c r="W12" s="114">
        <f t="shared" ref="W12" si="19">($J12/$L12)/AF12</f>
        <v>18.136330604741801</v>
      </c>
      <c r="X12" s="119">
        <f t="shared" ref="X12" si="20">($J12/$L12)/AG12</f>
        <v>16.253064163237195</v>
      </c>
      <c r="Y12" s="11">
        <f t="shared" ref="Y12" si="21">($J12/$L12)/AH12</f>
        <v>14.643090826312756</v>
      </c>
      <c r="Z12" s="11">
        <f t="shared" ref="Z12" si="22">($J12/$L12)/AI12</f>
        <v>12.916790243460351</v>
      </c>
      <c r="AA12" s="11">
        <f t="shared" ref="AA12" si="23">($J12/$L12)/AJ12</f>
        <v>11.45511164272437</v>
      </c>
      <c r="AB12" s="125">
        <v>1.06</v>
      </c>
      <c r="AC12" s="61">
        <v>1.92</v>
      </c>
      <c r="AD12" s="61">
        <v>2.27</v>
      </c>
      <c r="AE12" s="61">
        <v>4.51</v>
      </c>
      <c r="AF12" s="61">
        <v>10.27</v>
      </c>
      <c r="AG12" s="61">
        <v>11.46</v>
      </c>
      <c r="AH12" s="61">
        <v>12.72</v>
      </c>
      <c r="AI12" s="61">
        <v>14.42</v>
      </c>
      <c r="AJ12" s="61">
        <v>16.260000000000002</v>
      </c>
      <c r="AK12" s="61">
        <v>17.23</v>
      </c>
      <c r="AM12" t="s">
        <v>2222</v>
      </c>
      <c r="AN12" t="s">
        <v>2048</v>
      </c>
      <c r="AO12" s="10">
        <f>BD12/FV12-1</f>
        <v>7.3561253561253537E-2</v>
      </c>
      <c r="AP12" s="10">
        <f>BD12/BX12-1</f>
        <v>1.4757365217859642E-2</v>
      </c>
      <c r="AQ12" s="10">
        <f>BD12/CA12-1</f>
        <v>6.5174421710560981E-3</v>
      </c>
      <c r="AR12" s="122">
        <f>BD12/KS12-1</f>
        <v>0.34857919977095397</v>
      </c>
      <c r="BD12" s="1">
        <v>188.41</v>
      </c>
      <c r="BE12" s="1">
        <v>185.68</v>
      </c>
      <c r="BF12" s="1">
        <v>183.02</v>
      </c>
      <c r="BG12" s="1">
        <v>181.02</v>
      </c>
      <c r="BH12" s="1">
        <v>176.43</v>
      </c>
      <c r="BJ12" s="1">
        <v>174.93</v>
      </c>
      <c r="BK12" s="1">
        <v>177.89</v>
      </c>
      <c r="BL12" s="1">
        <v>178.71</v>
      </c>
      <c r="BM12" s="1">
        <v>177.27</v>
      </c>
      <c r="BN12" s="1">
        <v>178.75</v>
      </c>
      <c r="BO12" s="1">
        <v>182.28</v>
      </c>
      <c r="BP12" s="1">
        <v>178.96</v>
      </c>
      <c r="BQ12" s="1">
        <v>183.43</v>
      </c>
      <c r="BR12" s="1">
        <v>181.55</v>
      </c>
      <c r="BS12" s="1">
        <v>185.95</v>
      </c>
      <c r="BT12" s="1">
        <v>181.8</v>
      </c>
      <c r="BU12" s="1">
        <v>176.28</v>
      </c>
      <c r="BV12" s="1">
        <v>177.45</v>
      </c>
      <c r="BW12" s="1">
        <v>179.71</v>
      </c>
      <c r="BX12" s="1">
        <v>185.67</v>
      </c>
      <c r="BY12" s="1">
        <v>185.33</v>
      </c>
      <c r="BZ12" s="1">
        <v>185.65</v>
      </c>
      <c r="CA12" s="1">
        <v>187.19</v>
      </c>
      <c r="CB12" s="1">
        <v>187.03</v>
      </c>
      <c r="CC12" s="1">
        <v>189.75</v>
      </c>
      <c r="CD12" s="1">
        <v>187.46</v>
      </c>
      <c r="CE12" s="1">
        <v>184.64</v>
      </c>
      <c r="CF12" s="1">
        <v>183.92</v>
      </c>
      <c r="CG12" s="1">
        <v>181.58</v>
      </c>
      <c r="CH12" s="1">
        <v>184.96</v>
      </c>
      <c r="CI12" s="1">
        <v>187.72</v>
      </c>
      <c r="CJ12" s="1">
        <v>184.54</v>
      </c>
      <c r="CK12" s="1">
        <v>181.86</v>
      </c>
      <c r="CL12" s="1">
        <v>182.85</v>
      </c>
      <c r="CM12" s="1">
        <v>182.52</v>
      </c>
      <c r="CN12" s="1">
        <v>184.92</v>
      </c>
      <c r="CO12" s="1">
        <v>181.24</v>
      </c>
      <c r="CP12" s="1">
        <v>183.46</v>
      </c>
      <c r="CQ12" s="1">
        <v>184.74</v>
      </c>
      <c r="CR12" s="1">
        <v>187.37</v>
      </c>
      <c r="CS12" s="1">
        <v>185.2</v>
      </c>
      <c r="CT12" s="1">
        <v>186.68</v>
      </c>
      <c r="CU12" s="1">
        <v>187.51</v>
      </c>
      <c r="CV12" s="1">
        <v>189.75</v>
      </c>
      <c r="CW12" s="1">
        <v>192.3</v>
      </c>
      <c r="CX12" s="1">
        <v>194.81</v>
      </c>
      <c r="CY12" s="1">
        <v>195.78</v>
      </c>
      <c r="CZ12" s="1">
        <v>200.69</v>
      </c>
      <c r="DA12" s="1">
        <v>204.8</v>
      </c>
      <c r="DB12" s="1">
        <v>200.47</v>
      </c>
      <c r="DC12" s="1">
        <v>201.21</v>
      </c>
      <c r="DD12" s="1">
        <v>204.38</v>
      </c>
      <c r="DE12" s="1">
        <v>202.24</v>
      </c>
      <c r="DF12" s="1">
        <v>204.03</v>
      </c>
      <c r="DG12" s="1">
        <v>204.99</v>
      </c>
      <c r="DH12" s="1">
        <v>204.27</v>
      </c>
      <c r="DI12" s="1">
        <v>200.81</v>
      </c>
      <c r="DJ12" s="1">
        <v>202.83</v>
      </c>
      <c r="DK12" s="1">
        <v>203.49</v>
      </c>
      <c r="DL12" s="1">
        <v>200.73</v>
      </c>
      <c r="DM12" s="1">
        <v>197.22</v>
      </c>
      <c r="DN12" s="1">
        <v>193.88</v>
      </c>
      <c r="DO12" s="1">
        <v>188.42</v>
      </c>
      <c r="DP12" s="1">
        <v>183.4</v>
      </c>
      <c r="DQ12" s="1">
        <v>187.14</v>
      </c>
      <c r="DR12" s="1">
        <v>185.78</v>
      </c>
      <c r="DS12" s="1">
        <v>184.07</v>
      </c>
      <c r="DT12" s="1">
        <v>183.6</v>
      </c>
      <c r="DU12" s="1">
        <v>188.93</v>
      </c>
      <c r="DV12" s="1">
        <v>188.42</v>
      </c>
      <c r="DW12" s="1">
        <v>191.29</v>
      </c>
      <c r="DX12" s="1">
        <v>192.01</v>
      </c>
      <c r="DY12" s="1">
        <v>189.9</v>
      </c>
      <c r="DZ12" s="1">
        <v>192.5</v>
      </c>
      <c r="EA12" s="1">
        <v>193.31</v>
      </c>
      <c r="EB12" s="1">
        <v>194.99</v>
      </c>
      <c r="EC12" s="1">
        <v>194.95</v>
      </c>
      <c r="ED12" s="1">
        <v>194.22</v>
      </c>
      <c r="EE12" s="1">
        <v>197.52</v>
      </c>
      <c r="EF12" s="1">
        <v>201.53</v>
      </c>
      <c r="EG12" s="1">
        <v>201.76</v>
      </c>
      <c r="EH12" s="1">
        <v>203.73</v>
      </c>
      <c r="EI12" s="1">
        <v>208.45</v>
      </c>
      <c r="EJ12" s="1">
        <v>203.98</v>
      </c>
      <c r="EK12" s="1">
        <v>205.79</v>
      </c>
      <c r="EL12" s="1">
        <v>206.61</v>
      </c>
      <c r="EM12" s="1">
        <v>204.94</v>
      </c>
      <c r="EN12" s="1">
        <v>204.2</v>
      </c>
      <c r="EO12" s="1">
        <v>208.62</v>
      </c>
      <c r="EP12" s="1">
        <v>208.67</v>
      </c>
      <c r="EQ12" s="1">
        <v>209.48</v>
      </c>
      <c r="ER12" s="1">
        <v>205.55</v>
      </c>
      <c r="ES12" s="1">
        <v>204.52</v>
      </c>
      <c r="ET12" s="1">
        <v>204.76</v>
      </c>
      <c r="EU12" s="1">
        <v>193.4</v>
      </c>
      <c r="EV12" s="1">
        <v>188.01</v>
      </c>
      <c r="EW12" s="1">
        <v>193.03</v>
      </c>
      <c r="EX12" s="1">
        <v>187.16</v>
      </c>
      <c r="EY12" s="1">
        <v>187.45</v>
      </c>
      <c r="EZ12" s="1">
        <v>184.32</v>
      </c>
      <c r="FA12" s="1">
        <v>188.41</v>
      </c>
      <c r="FB12" s="1">
        <v>187.1</v>
      </c>
      <c r="FC12" s="1">
        <v>183.17</v>
      </c>
      <c r="FD12" s="1">
        <v>187.8</v>
      </c>
      <c r="FE12" s="1">
        <v>188.065</v>
      </c>
      <c r="FF12" s="1">
        <v>179.05</v>
      </c>
      <c r="FG12" s="1">
        <v>177.5</v>
      </c>
      <c r="FH12" s="1">
        <v>179.5</v>
      </c>
      <c r="FI12" s="1">
        <v>175</v>
      </c>
      <c r="FJ12" s="1">
        <v>183.2</v>
      </c>
      <c r="FK12" s="1">
        <v>191.125</v>
      </c>
      <c r="FL12" s="1">
        <v>188.83500000000001</v>
      </c>
      <c r="FM12" s="1">
        <v>190.23</v>
      </c>
      <c r="FN12" s="1">
        <v>188.66</v>
      </c>
      <c r="FO12" s="1">
        <v>185.47989999999999</v>
      </c>
      <c r="FP12" s="1">
        <v>190.98500000000001</v>
      </c>
      <c r="FQ12" s="1">
        <v>188.5</v>
      </c>
      <c r="FR12" s="1">
        <v>190.77500000000001</v>
      </c>
      <c r="FS12" s="1">
        <v>190.49</v>
      </c>
      <c r="FT12" s="1">
        <v>179.05699999999999</v>
      </c>
      <c r="FU12" s="1">
        <v>182.67500000000001</v>
      </c>
      <c r="FV12" s="1">
        <v>175.5</v>
      </c>
      <c r="FW12" s="1">
        <v>180.85</v>
      </c>
      <c r="FX12" s="1">
        <v>187.06</v>
      </c>
      <c r="FY12" s="1">
        <v>181.27500000000001</v>
      </c>
      <c r="FZ12" s="1">
        <v>186.4</v>
      </c>
      <c r="GA12" s="1">
        <v>183</v>
      </c>
      <c r="GB12" s="1">
        <v>180.75</v>
      </c>
      <c r="GC12" s="1">
        <v>181.23</v>
      </c>
      <c r="GD12" s="1">
        <v>180.53989999999999</v>
      </c>
      <c r="GE12" s="1">
        <v>184.75</v>
      </c>
      <c r="GG12" s="1">
        <v>183.86</v>
      </c>
      <c r="GJ12" s="1">
        <v>181.92</v>
      </c>
      <c r="GK12" s="37">
        <v>179.09989999999999</v>
      </c>
      <c r="GL12" s="1">
        <v>180.94</v>
      </c>
      <c r="GM12" s="1">
        <v>179.48750000000001</v>
      </c>
      <c r="GO12" s="1">
        <v>183.27500000000001</v>
      </c>
      <c r="GP12" s="37">
        <v>179.09989999999999</v>
      </c>
      <c r="GQ12" s="1">
        <v>180.35</v>
      </c>
      <c r="GR12" s="1">
        <v>183.74</v>
      </c>
      <c r="GS12" s="1">
        <v>188.5</v>
      </c>
      <c r="GT12" s="1">
        <v>187.72</v>
      </c>
      <c r="GU12" s="1">
        <v>182.7</v>
      </c>
      <c r="GV12" s="1">
        <v>182.58</v>
      </c>
      <c r="GW12" s="1">
        <v>177.85</v>
      </c>
      <c r="GX12" s="1">
        <v>179.82</v>
      </c>
      <c r="GY12" s="37">
        <v>175.20490000000001</v>
      </c>
      <c r="GZ12" s="37">
        <v>175.245</v>
      </c>
      <c r="HA12" s="37">
        <v>174.82490000000001</v>
      </c>
      <c r="HB12" s="1">
        <v>177.5</v>
      </c>
      <c r="HC12" s="1">
        <v>175.66</v>
      </c>
      <c r="HD12" s="1">
        <v>175.2</v>
      </c>
      <c r="HE12" s="1">
        <v>174.9</v>
      </c>
      <c r="HF12" s="1">
        <v>166.17</v>
      </c>
      <c r="HG12" s="1">
        <v>169</v>
      </c>
      <c r="HI12" s="1">
        <v>165.26</v>
      </c>
      <c r="HJ12" s="1">
        <v>161.9</v>
      </c>
      <c r="HM12" s="1">
        <v>163.67500000000001</v>
      </c>
      <c r="HN12" s="1">
        <v>165.58</v>
      </c>
      <c r="HO12" s="1">
        <v>163.99</v>
      </c>
      <c r="HP12" s="1">
        <v>163.75</v>
      </c>
      <c r="HQ12" s="1">
        <v>168.24</v>
      </c>
      <c r="HS12" s="1">
        <v>168.28</v>
      </c>
      <c r="HT12" s="37">
        <v>166.97989999999999</v>
      </c>
      <c r="HU12" s="1">
        <v>170.88</v>
      </c>
      <c r="HV12" s="1">
        <v>169.12</v>
      </c>
      <c r="HW12" s="1">
        <v>168.065</v>
      </c>
      <c r="HX12" s="1">
        <v>169.1</v>
      </c>
      <c r="HZ12" s="37">
        <v>169.33529999999999</v>
      </c>
      <c r="IA12" s="1">
        <v>169.85</v>
      </c>
      <c r="IB12" s="1">
        <v>172.1</v>
      </c>
      <c r="IC12" s="1">
        <v>170</v>
      </c>
      <c r="ID12" s="1">
        <v>172.3</v>
      </c>
      <c r="IE12" s="1">
        <v>170.51</v>
      </c>
      <c r="IF12" s="1">
        <v>164.67500000000001</v>
      </c>
      <c r="IG12" s="1">
        <v>162.55500000000001</v>
      </c>
      <c r="IH12" s="37">
        <v>149.5</v>
      </c>
      <c r="II12" s="37">
        <v>146.09989999999999</v>
      </c>
      <c r="IJ12" s="1">
        <v>146.16</v>
      </c>
      <c r="IK12" s="1">
        <v>149.75</v>
      </c>
      <c r="IL12" s="37">
        <v>149.03989999999999</v>
      </c>
      <c r="IM12" s="1">
        <v>150.74</v>
      </c>
      <c r="IN12" s="1">
        <v>156.82</v>
      </c>
      <c r="IO12" s="1">
        <v>154.38</v>
      </c>
      <c r="IP12" s="1">
        <v>153.38499999999999</v>
      </c>
      <c r="IQ12" s="1">
        <v>156.02500000000001</v>
      </c>
      <c r="IR12" s="1">
        <v>153.00280000000001</v>
      </c>
      <c r="IS12" s="1">
        <v>154.58000000000001</v>
      </c>
      <c r="IT12" s="1">
        <v>159.56</v>
      </c>
      <c r="IU12" s="1">
        <v>162</v>
      </c>
      <c r="IV12" s="1">
        <v>160.13990000000001</v>
      </c>
      <c r="IW12" s="1">
        <v>160.53989999999999</v>
      </c>
      <c r="IY12" s="1">
        <v>164.5</v>
      </c>
      <c r="IZ12" s="1">
        <v>162</v>
      </c>
      <c r="JA12" s="1">
        <v>162.25989999999999</v>
      </c>
      <c r="JB12" s="1">
        <v>160.66</v>
      </c>
      <c r="JC12" s="1">
        <v>161.13</v>
      </c>
      <c r="JD12" s="1">
        <v>158.19990000000001</v>
      </c>
      <c r="JE12" s="1">
        <v>160.65</v>
      </c>
      <c r="JF12" s="1">
        <v>160.30000000000001</v>
      </c>
      <c r="JG12" s="1">
        <v>162.97999999999999</v>
      </c>
      <c r="JH12" s="1">
        <v>157.09</v>
      </c>
      <c r="JJ12" s="1">
        <v>157.80000000000001</v>
      </c>
      <c r="JL12" s="1">
        <v>160.46</v>
      </c>
      <c r="JM12" s="1">
        <v>155.5</v>
      </c>
      <c r="JN12" s="1">
        <v>155.75</v>
      </c>
      <c r="JO12" s="1">
        <v>154.30000000000001</v>
      </c>
      <c r="JP12" s="1">
        <v>148.28</v>
      </c>
      <c r="JQ12" s="1">
        <v>146.12</v>
      </c>
      <c r="JR12" s="1">
        <v>141.77199999999999</v>
      </c>
      <c r="JS12" s="1">
        <v>147.23500000000001</v>
      </c>
      <c r="JT12" s="1">
        <v>148.68</v>
      </c>
      <c r="JU12" s="1">
        <v>150.29</v>
      </c>
      <c r="JV12" s="1">
        <v>150.32</v>
      </c>
      <c r="JW12" s="1">
        <v>147.5</v>
      </c>
      <c r="JX12" s="1">
        <v>147.38999999999999</v>
      </c>
      <c r="JY12" s="1">
        <v>155.66999999999999</v>
      </c>
      <c r="JZ12" s="1">
        <v>150.47999999999999</v>
      </c>
      <c r="KA12" s="1">
        <v>144.1</v>
      </c>
      <c r="KC12" s="1">
        <v>146.91999999999999</v>
      </c>
      <c r="KD12" s="1">
        <v>147.30000000000001</v>
      </c>
      <c r="KE12" s="1">
        <v>141.9</v>
      </c>
      <c r="KF12" s="1">
        <v>139.69999999999999</v>
      </c>
      <c r="KI12" s="1">
        <v>142.02000000000001</v>
      </c>
      <c r="KJ12" s="1">
        <v>140.4</v>
      </c>
      <c r="KK12" s="1">
        <v>143.15</v>
      </c>
      <c r="KL12" s="1">
        <v>140.25989999999999</v>
      </c>
      <c r="KN12" s="1">
        <v>141.4</v>
      </c>
      <c r="KO12" s="1">
        <v>140.15</v>
      </c>
      <c r="KP12" s="1">
        <v>142.63</v>
      </c>
      <c r="KQ12" s="1">
        <v>140.685</v>
      </c>
      <c r="KR12" s="1">
        <v>143.88</v>
      </c>
      <c r="KS12" s="1">
        <v>139.71</v>
      </c>
    </row>
    <row r="13" spans="1:307" x14ac:dyDescent="0.25">
      <c r="A13" t="s">
        <v>330</v>
      </c>
      <c r="B13"/>
      <c r="C13"/>
      <c r="D13" s="1">
        <f>+D12</f>
        <v>7</v>
      </c>
      <c r="E13" s="13" t="s">
        <v>35</v>
      </c>
      <c r="F13" s="1" t="s">
        <v>413</v>
      </c>
      <c r="G13" s="15">
        <v>12632</v>
      </c>
      <c r="H13" s="6">
        <f>+G13*L13/100*GBP</f>
        <v>262769.42395199998</v>
      </c>
      <c r="I13" s="6">
        <f>+[7]Main!$K$5-[7]Main!$K$6</f>
        <v>-25944</v>
      </c>
      <c r="J13" s="6">
        <f t="shared" si="1"/>
        <v>288713.42395199998</v>
      </c>
      <c r="K13" s="3" t="s">
        <v>2007</v>
      </c>
      <c r="L13" s="6">
        <f>+[7]Main!$K$3</f>
        <v>1561</v>
      </c>
      <c r="M13" s="9">
        <f>+M12</f>
        <v>46227</v>
      </c>
      <c r="N13" s="3" t="s">
        <v>1677</v>
      </c>
      <c r="O13" s="3" t="s">
        <v>1677</v>
      </c>
      <c r="P13" s="3" t="s">
        <v>1677</v>
      </c>
      <c r="Q13" s="3" t="s">
        <v>1677</v>
      </c>
      <c r="R13" s="3" t="s">
        <v>1677</v>
      </c>
      <c r="S13" s="4" t="s">
        <v>1677</v>
      </c>
      <c r="T13" s="4" t="s">
        <v>1677</v>
      </c>
      <c r="U13" s="4" t="s">
        <v>1677</v>
      </c>
      <c r="V13" s="4" t="s">
        <v>1677</v>
      </c>
      <c r="W13" s="112" t="s">
        <v>1677</v>
      </c>
      <c r="X13" s="4" t="s">
        <v>1677</v>
      </c>
      <c r="Y13" s="4" t="s">
        <v>1677</v>
      </c>
      <c r="Z13" s="4" t="s">
        <v>1677</v>
      </c>
      <c r="AA13" s="4" t="s">
        <v>1677</v>
      </c>
      <c r="AB13" s="125" t="s">
        <v>1677</v>
      </c>
      <c r="AC13" s="61" t="s">
        <v>1677</v>
      </c>
      <c r="AD13" s="61" t="s">
        <v>1677</v>
      </c>
      <c r="AE13" s="61" t="s">
        <v>1677</v>
      </c>
      <c r="AF13" s="61" t="s">
        <v>1677</v>
      </c>
      <c r="AG13" s="61" t="s">
        <v>1677</v>
      </c>
      <c r="AH13" s="61" t="s">
        <v>1677</v>
      </c>
      <c r="AI13" s="61" t="s">
        <v>1677</v>
      </c>
      <c r="AJ13" s="61" t="s">
        <v>1677</v>
      </c>
      <c r="AK13" s="61" t="s">
        <v>1677</v>
      </c>
      <c r="AM13" t="s">
        <v>2222</v>
      </c>
      <c r="AN13" t="s">
        <v>2048</v>
      </c>
    </row>
    <row r="14" spans="1:307" x14ac:dyDescent="0.25">
      <c r="A14" t="s">
        <v>330</v>
      </c>
      <c r="B14"/>
      <c r="C14"/>
      <c r="D14" s="1">
        <f>+D13+1</f>
        <v>8</v>
      </c>
      <c r="E14" s="110" t="s">
        <v>31</v>
      </c>
      <c r="F14" s="1" t="s">
        <v>32</v>
      </c>
      <c r="G14" s="7">
        <v>394</v>
      </c>
      <c r="H14" s="6">
        <f>+G14*L14</f>
        <v>214336</v>
      </c>
      <c r="I14" s="6">
        <f>[8]Main!$J$5-[8]Main!$J$6</f>
        <v>-45300</v>
      </c>
      <c r="J14" s="6">
        <f t="shared" si="1"/>
        <v>259636</v>
      </c>
      <c r="K14" s="3" t="s">
        <v>2007</v>
      </c>
      <c r="L14" s="6">
        <f>[8]Main!$J$3</f>
        <v>544</v>
      </c>
      <c r="M14" s="9">
        <v>46204</v>
      </c>
      <c r="N14" s="7">
        <f>+[8]Model!$EU$60</f>
        <v>384.3778495798079</v>
      </c>
      <c r="O14" s="10">
        <f>N14/G14-1</f>
        <v>-2.4421701574091625E-2</v>
      </c>
      <c r="P14" s="10">
        <f>+[8]Model!$EU$56</f>
        <v>0.01</v>
      </c>
      <c r="Q14" s="10">
        <f>+[8]Model!$EU$57</f>
        <v>-0.02</v>
      </c>
      <c r="R14" s="10">
        <f>+[8]Model!$EU$58</f>
        <v>0.08</v>
      </c>
      <c r="S14" s="11">
        <f t="shared" ref="S14:V15" si="24">($J14/$L14)/AB14</f>
        <v>35.804355500639865</v>
      </c>
      <c r="T14" s="11">
        <f t="shared" si="24"/>
        <v>37.729016507788884</v>
      </c>
      <c r="U14" s="11">
        <f t="shared" si="24"/>
        <v>55.112246977312864</v>
      </c>
      <c r="V14" s="11">
        <f t="shared" si="24"/>
        <v>34.262172205565641</v>
      </c>
      <c r="W14" s="114">
        <f t="shared" ref="W14" si="25">($J14/$L14)/AF14</f>
        <v>20.850679721429856</v>
      </c>
      <c r="X14" s="119">
        <f t="shared" ref="X14" si="26">($J14/$L14)/AG14</f>
        <v>19.820268223568497</v>
      </c>
      <c r="Y14" s="11">
        <f t="shared" ref="Y14" si="27">($J14/$L14)/AH14</f>
        <v>18.879432706626954</v>
      </c>
      <c r="Z14" s="11">
        <f t="shared" ref="Z14" si="28">($J14/$L14)/AI14</f>
        <v>17.76887784153125</v>
      </c>
      <c r="AA14" s="11">
        <f t="shared" ref="AA14" si="29">($J14/$L14)/AJ14</f>
        <v>16.746388028895769</v>
      </c>
      <c r="AB14" s="125">
        <v>13.33</v>
      </c>
      <c r="AC14" s="61">
        <v>12.65</v>
      </c>
      <c r="AD14" s="61">
        <v>8.66</v>
      </c>
      <c r="AE14" s="61">
        <v>13.93</v>
      </c>
      <c r="AF14" s="61">
        <v>22.89</v>
      </c>
      <c r="AG14" s="61">
        <v>24.08</v>
      </c>
      <c r="AH14" s="61">
        <v>25.28</v>
      </c>
      <c r="AI14" s="61">
        <v>26.86</v>
      </c>
      <c r="AJ14" s="61">
        <v>28.5</v>
      </c>
      <c r="AK14" s="61">
        <v>29.64</v>
      </c>
      <c r="AL14" s="1">
        <v>1980</v>
      </c>
      <c r="AM14" t="s">
        <v>2223</v>
      </c>
      <c r="AN14" s="1" t="s">
        <v>2042</v>
      </c>
      <c r="AO14" s="10">
        <f>BD14/FV14-1</f>
        <v>9.4772539794078847E-2</v>
      </c>
      <c r="AP14" s="10">
        <f>BD14/BX14-1</f>
        <v>6.3956768312598333E-2</v>
      </c>
      <c r="AQ14" s="10">
        <f>BD14/CA14-1</f>
        <v>6.664880633446435E-2</v>
      </c>
      <c r="AR14" s="122">
        <f>BD14/KT14-1</f>
        <v>0.28337093943626668</v>
      </c>
      <c r="BD14" s="1">
        <v>358.33</v>
      </c>
      <c r="BE14" s="1">
        <v>352.82</v>
      </c>
      <c r="BF14" s="1">
        <v>351.43</v>
      </c>
      <c r="BG14" s="1">
        <v>347.01</v>
      </c>
      <c r="BH14" s="1">
        <v>344.72</v>
      </c>
      <c r="BJ14" s="1">
        <v>337.6</v>
      </c>
      <c r="BK14" s="1">
        <v>341.66</v>
      </c>
      <c r="BL14" s="1">
        <v>347.84</v>
      </c>
      <c r="BM14" s="1">
        <v>350.53</v>
      </c>
      <c r="BN14" s="1">
        <v>355.2</v>
      </c>
      <c r="BO14" s="1">
        <v>354.06</v>
      </c>
      <c r="BP14" s="1">
        <v>337.73</v>
      </c>
      <c r="BQ14" s="1">
        <v>344.565</v>
      </c>
      <c r="BR14" s="1">
        <v>345.73</v>
      </c>
      <c r="BS14" s="1">
        <v>349.58</v>
      </c>
      <c r="BT14" s="1">
        <v>345.6</v>
      </c>
      <c r="BU14" s="1">
        <v>338.22</v>
      </c>
      <c r="BV14" s="1">
        <v>328.26</v>
      </c>
      <c r="BW14" s="1">
        <v>329.13</v>
      </c>
      <c r="BX14" s="1">
        <v>336.79</v>
      </c>
      <c r="BY14" s="1">
        <v>336.48</v>
      </c>
      <c r="BZ14" s="1">
        <v>336.06</v>
      </c>
      <c r="CA14" s="1">
        <v>335.94</v>
      </c>
      <c r="CB14" s="1">
        <v>339.3</v>
      </c>
      <c r="CC14" s="1">
        <v>337.42</v>
      </c>
      <c r="CD14" s="1">
        <v>331.57</v>
      </c>
      <c r="CE14" s="1">
        <v>330.75</v>
      </c>
      <c r="CF14" s="1">
        <v>324.39</v>
      </c>
      <c r="CG14" s="1">
        <v>326.31</v>
      </c>
      <c r="CH14" s="1">
        <v>336.23</v>
      </c>
      <c r="CI14" s="1">
        <v>336.45</v>
      </c>
      <c r="CJ14" s="1">
        <v>336.29</v>
      </c>
      <c r="CK14" s="1">
        <v>329.59</v>
      </c>
      <c r="CL14" s="1">
        <v>331.7</v>
      </c>
      <c r="CM14" s="1">
        <v>329.09</v>
      </c>
      <c r="CN14" s="1">
        <v>331.11</v>
      </c>
      <c r="CO14" s="1">
        <v>329.59</v>
      </c>
      <c r="CP14" s="1">
        <v>323.85000000000002</v>
      </c>
      <c r="CQ14" s="1">
        <v>329.82</v>
      </c>
      <c r="CR14" s="1">
        <v>346.25</v>
      </c>
      <c r="CS14" s="1">
        <v>338.02</v>
      </c>
      <c r="CT14" s="1">
        <v>339.57</v>
      </c>
      <c r="CU14" s="1">
        <v>340.18</v>
      </c>
      <c r="CV14" s="1">
        <v>344.55</v>
      </c>
      <c r="CW14" s="1">
        <v>348.62</v>
      </c>
      <c r="CX14" s="1">
        <v>345.92</v>
      </c>
      <c r="CY14" s="1">
        <v>344.86</v>
      </c>
      <c r="CZ14" s="1">
        <v>350.16</v>
      </c>
      <c r="DA14" s="1">
        <v>355.3</v>
      </c>
      <c r="DB14" s="1">
        <v>349.39</v>
      </c>
      <c r="DC14" s="1">
        <v>348.22</v>
      </c>
      <c r="DD14" s="1">
        <v>350.95</v>
      </c>
      <c r="DE14" s="1">
        <v>349.82</v>
      </c>
      <c r="DF14" s="1">
        <v>351.02</v>
      </c>
      <c r="DG14" s="1">
        <v>355.6</v>
      </c>
      <c r="DH14" s="1">
        <v>349.81</v>
      </c>
      <c r="DI14" s="1">
        <v>340</v>
      </c>
      <c r="DJ14" s="1">
        <v>342.57</v>
      </c>
      <c r="DK14" s="1">
        <v>347.94</v>
      </c>
      <c r="DL14" s="1">
        <v>353.28</v>
      </c>
      <c r="DM14" s="1">
        <v>351.85</v>
      </c>
      <c r="DN14" s="1">
        <v>349</v>
      </c>
      <c r="DO14" s="1">
        <v>348.77</v>
      </c>
      <c r="DP14" s="1">
        <v>353.16</v>
      </c>
      <c r="DQ14" s="1">
        <v>353.93</v>
      </c>
      <c r="DR14" s="1">
        <v>348.43</v>
      </c>
      <c r="DS14" s="1">
        <v>349.77</v>
      </c>
      <c r="DT14" s="1">
        <v>347.8</v>
      </c>
      <c r="DU14" s="1">
        <v>349.92</v>
      </c>
      <c r="DV14" s="1">
        <v>351.48</v>
      </c>
      <c r="DW14" s="1">
        <v>361.13</v>
      </c>
      <c r="DX14" s="1">
        <v>366.25</v>
      </c>
      <c r="DY14" s="1">
        <v>366.21</v>
      </c>
      <c r="DZ14" s="1">
        <v>367.79</v>
      </c>
      <c r="EA14" s="1">
        <v>377.64</v>
      </c>
      <c r="EB14" s="1">
        <v>375.43</v>
      </c>
      <c r="EC14" s="1">
        <v>376.97</v>
      </c>
      <c r="ED14" s="1">
        <v>369.53</v>
      </c>
      <c r="EE14" s="1">
        <v>367.6</v>
      </c>
      <c r="EF14" s="1">
        <v>379.27</v>
      </c>
      <c r="EG14" s="1">
        <v>377</v>
      </c>
      <c r="EH14" s="1">
        <v>385.7</v>
      </c>
      <c r="EI14" s="1">
        <v>388.16</v>
      </c>
      <c r="EJ14" s="1">
        <v>379.33</v>
      </c>
      <c r="EK14" s="1">
        <v>384.33</v>
      </c>
      <c r="EL14" s="1">
        <v>382.87</v>
      </c>
      <c r="EM14" s="1">
        <v>379.42</v>
      </c>
      <c r="EN14" s="1">
        <v>374.75</v>
      </c>
      <c r="EO14" s="1">
        <v>375.5</v>
      </c>
      <c r="EP14" s="1">
        <v>379.73</v>
      </c>
      <c r="EQ14" s="1">
        <v>373.36</v>
      </c>
      <c r="ER14" s="1">
        <v>369.19</v>
      </c>
      <c r="ES14" s="1">
        <v>366.2</v>
      </c>
      <c r="ET14" s="1">
        <v>366.58</v>
      </c>
      <c r="EU14" s="1">
        <v>364.65</v>
      </c>
      <c r="EV14" s="1">
        <v>375.82</v>
      </c>
      <c r="EW14" s="1">
        <v>384.32</v>
      </c>
      <c r="EX14" s="1">
        <v>367.8</v>
      </c>
      <c r="EY14" s="1">
        <v>366.2</v>
      </c>
      <c r="EZ14" s="1">
        <v>338.59</v>
      </c>
      <c r="FA14" s="1">
        <v>344.68</v>
      </c>
      <c r="FB14" s="1">
        <v>341.88</v>
      </c>
      <c r="FC14" s="1">
        <v>342.94</v>
      </c>
      <c r="FD14" s="1">
        <v>342.22</v>
      </c>
      <c r="FE14" s="1">
        <v>351.32</v>
      </c>
      <c r="FF14" s="1">
        <v>349.69</v>
      </c>
      <c r="FG14" s="1">
        <v>344.75</v>
      </c>
      <c r="FH14" s="1">
        <v>347.07</v>
      </c>
      <c r="FI14" s="1">
        <v>343.6</v>
      </c>
      <c r="FJ14" s="1">
        <v>331</v>
      </c>
      <c r="FK14" s="1">
        <v>330.41</v>
      </c>
      <c r="FL14" s="1">
        <v>330.03</v>
      </c>
      <c r="FM14" s="1">
        <v>328.97</v>
      </c>
      <c r="FN14" s="1">
        <v>324.3</v>
      </c>
      <c r="FO14" s="1">
        <v>325.54000000000002</v>
      </c>
      <c r="FP14" s="1">
        <v>326.10000000000002</v>
      </c>
      <c r="FQ14" s="1">
        <v>330.11</v>
      </c>
      <c r="FR14" s="1">
        <v>341.64</v>
      </c>
      <c r="FS14" s="1">
        <v>330.17</v>
      </c>
      <c r="FT14" s="1">
        <v>320.72000000000003</v>
      </c>
      <c r="FU14" s="1">
        <v>327.64</v>
      </c>
      <c r="FV14" s="1">
        <v>327.31</v>
      </c>
      <c r="FW14" s="1">
        <v>328.69</v>
      </c>
      <c r="FX14" s="1">
        <v>329.63</v>
      </c>
      <c r="FY14" s="1">
        <v>332.93</v>
      </c>
      <c r="FZ14" s="1">
        <v>333.96</v>
      </c>
      <c r="GA14" s="1">
        <v>331.49</v>
      </c>
      <c r="GB14" s="1">
        <v>331.39</v>
      </c>
      <c r="GC14" s="1">
        <v>327.38</v>
      </c>
      <c r="GD14" s="1">
        <v>324.42</v>
      </c>
      <c r="GE14" s="1">
        <v>326.01</v>
      </c>
      <c r="GF14" s="1">
        <v>326.74</v>
      </c>
      <c r="GG14" s="1">
        <v>325.31</v>
      </c>
      <c r="GH14" s="1">
        <v>317.74</v>
      </c>
      <c r="GI14" s="1">
        <v>317.38</v>
      </c>
      <c r="GJ14" s="1">
        <v>315.38</v>
      </c>
      <c r="GK14" s="1">
        <v>313.85000000000002</v>
      </c>
      <c r="GL14" s="1">
        <v>321.23</v>
      </c>
      <c r="GM14" s="1">
        <v>329.89</v>
      </c>
      <c r="GN14" s="1">
        <v>340.16</v>
      </c>
      <c r="GO14" s="1">
        <v>345.42</v>
      </c>
      <c r="GP14" s="1">
        <v>338.36</v>
      </c>
      <c r="GQ14" s="1">
        <v>337.49</v>
      </c>
      <c r="GR14" s="1">
        <v>345.46</v>
      </c>
      <c r="GS14" s="1">
        <v>344.57</v>
      </c>
      <c r="GT14" s="1">
        <v>341.11</v>
      </c>
      <c r="GU14" s="1">
        <v>334.3</v>
      </c>
      <c r="GV14" s="1">
        <v>337.54</v>
      </c>
      <c r="GW14" s="1">
        <v>336.07</v>
      </c>
      <c r="GX14" s="1">
        <v>342.4</v>
      </c>
      <c r="GY14" s="1">
        <v>343.99</v>
      </c>
      <c r="GZ14" s="1">
        <v>341.71</v>
      </c>
      <c r="HA14" s="1">
        <v>336.74</v>
      </c>
      <c r="HB14" s="1">
        <v>336</v>
      </c>
      <c r="HC14" s="1">
        <v>336.28</v>
      </c>
      <c r="HD14" s="1">
        <v>338.45</v>
      </c>
      <c r="HE14" s="1">
        <v>323.66000000000003</v>
      </c>
      <c r="HF14" s="1">
        <v>320.2</v>
      </c>
      <c r="HG14" s="1">
        <v>315.58999999999997</v>
      </c>
      <c r="HH14" s="1">
        <v>319.86</v>
      </c>
      <c r="HI14" s="1">
        <v>296.7</v>
      </c>
      <c r="HJ14" s="1">
        <v>296.3</v>
      </c>
      <c r="HK14" s="1">
        <v>298.43</v>
      </c>
      <c r="HL14" s="1">
        <v>292</v>
      </c>
      <c r="HM14" s="1">
        <v>291.77</v>
      </c>
      <c r="HN14" s="1">
        <v>292.08999999999997</v>
      </c>
      <c r="HO14" s="1">
        <v>291.16000000000003</v>
      </c>
      <c r="HP14" s="1">
        <v>291.76</v>
      </c>
      <c r="HQ14" s="1">
        <v>292.89</v>
      </c>
      <c r="HR14" s="1">
        <v>295.98</v>
      </c>
      <c r="HS14" s="1">
        <v>301.14</v>
      </c>
      <c r="HT14" s="1">
        <v>303.33</v>
      </c>
      <c r="HU14" s="1">
        <v>298.81</v>
      </c>
      <c r="HV14" s="1">
        <v>295.81</v>
      </c>
      <c r="HW14" s="1">
        <v>297.32</v>
      </c>
      <c r="HX14" s="1">
        <v>293.85000000000002</v>
      </c>
      <c r="HY14" s="1">
        <v>292.40499999999997</v>
      </c>
      <c r="HZ14" s="1">
        <v>290.13</v>
      </c>
      <c r="IA14" s="1">
        <v>295.43</v>
      </c>
      <c r="IB14" s="1">
        <v>294.62</v>
      </c>
      <c r="IC14" s="1">
        <v>295.54000000000002</v>
      </c>
      <c r="ID14" s="1">
        <v>294.12</v>
      </c>
      <c r="IE14" s="1">
        <v>297.89</v>
      </c>
      <c r="IF14" s="1">
        <v>297.39999999999998</v>
      </c>
      <c r="IG14" s="1">
        <v>298.5</v>
      </c>
      <c r="IH14" s="1">
        <v>282.2</v>
      </c>
      <c r="II14" s="1">
        <v>273.97000000000003</v>
      </c>
      <c r="IJ14" s="1">
        <v>272.98</v>
      </c>
      <c r="IK14" s="1">
        <v>271.18</v>
      </c>
      <c r="IL14" s="1">
        <v>279.22000000000003</v>
      </c>
      <c r="IM14" s="1">
        <v>286.81</v>
      </c>
      <c r="IN14" s="1">
        <v>286</v>
      </c>
      <c r="IO14" s="1">
        <v>285.41000000000003</v>
      </c>
      <c r="IP14" s="1">
        <v>275.83</v>
      </c>
      <c r="IQ14" s="1">
        <v>274.70999999999998</v>
      </c>
      <c r="IR14" s="1">
        <v>273.08499999999998</v>
      </c>
      <c r="IS14" s="1">
        <v>274.39999999999998</v>
      </c>
      <c r="IT14" s="1">
        <v>276.39</v>
      </c>
      <c r="IU14" s="1">
        <v>282.73</v>
      </c>
      <c r="IV14" s="1">
        <v>278.51</v>
      </c>
      <c r="IW14" s="1">
        <v>279.97000000000003</v>
      </c>
      <c r="IX14" s="1">
        <v>280.19</v>
      </c>
      <c r="IY14" s="1">
        <v>283.64</v>
      </c>
      <c r="IZ14" s="1">
        <v>280.10000000000002</v>
      </c>
      <c r="JA14" s="1">
        <v>283.85000000000002</v>
      </c>
      <c r="JB14" s="1">
        <v>286.92</v>
      </c>
      <c r="JC14" s="1">
        <v>287.70999999999998</v>
      </c>
      <c r="JD14" s="1">
        <v>285.61</v>
      </c>
      <c r="JE14" s="1">
        <v>287.97000000000003</v>
      </c>
      <c r="JF14" s="1">
        <v>289.58</v>
      </c>
      <c r="JG14" s="1">
        <v>288.47000000000003</v>
      </c>
      <c r="JH14" s="1">
        <v>293.72000000000003</v>
      </c>
      <c r="JI14" s="1">
        <v>295.76</v>
      </c>
      <c r="JJ14" s="1">
        <v>296.45</v>
      </c>
      <c r="JK14" s="1">
        <v>295.55</v>
      </c>
      <c r="JL14" s="1">
        <v>292.62</v>
      </c>
      <c r="JM14" s="1">
        <v>296.47000000000003</v>
      </c>
      <c r="JN14" s="1">
        <v>290.29000000000002</v>
      </c>
      <c r="JO14" s="1">
        <v>289.33</v>
      </c>
      <c r="JP14" s="1">
        <v>284.98</v>
      </c>
      <c r="JQ14" s="1">
        <v>285.08999999999997</v>
      </c>
      <c r="JR14" s="1">
        <v>288.23</v>
      </c>
      <c r="JS14" s="1">
        <v>284.7</v>
      </c>
      <c r="JT14" s="1">
        <v>284.67</v>
      </c>
      <c r="JU14" s="1">
        <v>300.08</v>
      </c>
      <c r="JV14" s="1">
        <v>301.94</v>
      </c>
      <c r="JW14" s="1">
        <v>296.88</v>
      </c>
      <c r="JX14" s="1">
        <v>295.10000000000002</v>
      </c>
      <c r="JY14" s="1">
        <v>301.37</v>
      </c>
      <c r="JZ14" s="1">
        <v>303.56</v>
      </c>
      <c r="KA14" s="1">
        <v>301.29000000000002</v>
      </c>
      <c r="KB14" s="1">
        <v>306.58</v>
      </c>
      <c r="KC14" s="1">
        <v>308.55</v>
      </c>
      <c r="KD14" s="1">
        <v>309.22000000000003</v>
      </c>
      <c r="KE14" s="1">
        <v>305.69</v>
      </c>
      <c r="KF14" s="1">
        <v>295.87</v>
      </c>
      <c r="KG14" s="1">
        <v>294.76</v>
      </c>
      <c r="KH14" s="1">
        <v>298.25</v>
      </c>
      <c r="KI14" s="1">
        <v>299.02</v>
      </c>
      <c r="KJ14" s="1">
        <v>292.51</v>
      </c>
      <c r="KK14" s="1">
        <v>297.02999999999997</v>
      </c>
      <c r="KL14" s="1">
        <v>295.27</v>
      </c>
      <c r="KM14" s="1">
        <v>300.37</v>
      </c>
      <c r="KN14" s="1">
        <v>296.52</v>
      </c>
      <c r="KO14" s="1">
        <v>297</v>
      </c>
      <c r="KP14" s="1">
        <v>292.95</v>
      </c>
      <c r="KQ14" s="1">
        <v>298.24</v>
      </c>
      <c r="KR14" s="1">
        <v>296.85000000000002</v>
      </c>
      <c r="KS14" s="1">
        <v>290.52</v>
      </c>
      <c r="KT14" s="1">
        <v>279.20999999999998</v>
      </c>
    </row>
    <row r="15" spans="1:307" x14ac:dyDescent="0.25">
      <c r="A15" t="s">
        <v>330</v>
      </c>
      <c r="B15"/>
      <c r="C15"/>
      <c r="D15" s="1">
        <f>+D14+1</f>
        <v>9</v>
      </c>
      <c r="E15" s="13" t="s">
        <v>23</v>
      </c>
      <c r="F15" s="1" t="s">
        <v>24</v>
      </c>
      <c r="G15" s="7">
        <v>46.92</v>
      </c>
      <c r="H15" s="6">
        <f>+L15*G15</f>
        <v>208733.00399999999</v>
      </c>
      <c r="I15" s="6">
        <f>([9]Main!$J$5-[9]Main!$J$6)/DKK</f>
        <v>-17878.526150192021</v>
      </c>
      <c r="J15" s="6">
        <f t="shared" si="1"/>
        <v>226611.530150192</v>
      </c>
      <c r="K15" s="3" t="s">
        <v>2007</v>
      </c>
      <c r="L15" s="6">
        <f>+[9]Main!$J$3</f>
        <v>4448.7</v>
      </c>
      <c r="M15" s="9">
        <v>46227</v>
      </c>
      <c r="N15" s="7" t="s">
        <v>1677</v>
      </c>
      <c r="O15" s="10" t="s">
        <v>1677</v>
      </c>
      <c r="P15" s="3" t="s">
        <v>1677</v>
      </c>
      <c r="Q15" s="3" t="s">
        <v>1677</v>
      </c>
      <c r="R15" s="3" t="s">
        <v>1677</v>
      </c>
      <c r="S15" s="11">
        <f t="shared" si="24"/>
        <v>29.107897350454486</v>
      </c>
      <c r="T15" s="11">
        <f t="shared" si="24"/>
        <v>18.4560943345273</v>
      </c>
      <c r="U15" s="11">
        <f t="shared" si="24"/>
        <v>14.348963482618409</v>
      </c>
      <c r="V15" s="11">
        <f t="shared" si="24"/>
        <v>14.110476554929461</v>
      </c>
      <c r="W15" s="114">
        <f t="shared" ref="W15" si="30">($J15/$L15)/AF15</f>
        <v>14.938070487769897</v>
      </c>
      <c r="X15" s="119">
        <f t="shared" ref="X15" si="31">($J15/$L15)/AG15</f>
        <v>15.482924122582173</v>
      </c>
      <c r="Y15" s="11">
        <f t="shared" ref="Y15" si="32">($J15/$L15)/AH15</f>
        <v>14.51248443398728</v>
      </c>
      <c r="Z15" s="11">
        <f t="shared" ref="Z15" si="33">($J15/$L15)/AI15</f>
        <v>13.128561949302926</v>
      </c>
      <c r="AA15" s="11">
        <f t="shared" ref="AA15" si="34">($J15/$L15)/AJ15</f>
        <v>12.244908741176767</v>
      </c>
      <c r="AB15" s="125">
        <v>1.75</v>
      </c>
      <c r="AC15" s="61">
        <v>2.76</v>
      </c>
      <c r="AD15" s="61">
        <v>3.55</v>
      </c>
      <c r="AE15" s="61">
        <v>3.61</v>
      </c>
      <c r="AF15" s="61">
        <v>3.41</v>
      </c>
      <c r="AG15" s="61">
        <v>3.29</v>
      </c>
      <c r="AH15" s="61">
        <v>3.51</v>
      </c>
      <c r="AI15" s="61">
        <v>3.88</v>
      </c>
      <c r="AJ15" s="61">
        <v>4.16</v>
      </c>
      <c r="AK15" s="61">
        <v>4.41</v>
      </c>
      <c r="AL15" s="1">
        <v>1923</v>
      </c>
      <c r="AM15" t="s">
        <v>2224</v>
      </c>
      <c r="AN15" t="s">
        <v>1121</v>
      </c>
      <c r="AO15" s="10">
        <f>BD15/FV15-1</f>
        <v>-5.5227987421383684E-2</v>
      </c>
      <c r="AP15" s="10">
        <f>BD15/BX15-1</f>
        <v>5.4629223343571898E-2</v>
      </c>
      <c r="AQ15" s="10">
        <f>BD15/CA15-1</f>
        <v>8.7802670287395301E-2</v>
      </c>
      <c r="AR15" s="122">
        <f>BD15/KT15-1</f>
        <v>-0.30353520718632276</v>
      </c>
      <c r="BD15" s="1">
        <v>48.07</v>
      </c>
      <c r="BE15" s="1">
        <v>47.64</v>
      </c>
      <c r="BF15" s="1">
        <v>47.41</v>
      </c>
      <c r="BG15" s="1">
        <v>47.42</v>
      </c>
      <c r="BH15" s="1">
        <v>45.88</v>
      </c>
      <c r="BJ15" s="1">
        <v>43.19</v>
      </c>
      <c r="BK15" s="1">
        <v>43.52</v>
      </c>
      <c r="BL15" s="1">
        <v>43.55</v>
      </c>
      <c r="BM15" s="1">
        <v>43.92</v>
      </c>
      <c r="BN15" s="1">
        <v>43.88</v>
      </c>
      <c r="BO15" s="1">
        <v>43.96</v>
      </c>
      <c r="BP15" s="1">
        <v>42.81</v>
      </c>
      <c r="BQ15" s="1">
        <v>42.19</v>
      </c>
      <c r="BR15" s="1">
        <v>41.02</v>
      </c>
      <c r="BS15" s="1">
        <v>42.96</v>
      </c>
      <c r="BT15" s="1">
        <v>43.75</v>
      </c>
      <c r="BU15" s="1">
        <v>42</v>
      </c>
      <c r="BV15" s="1">
        <v>42.92</v>
      </c>
      <c r="BW15" s="1">
        <v>44.07</v>
      </c>
      <c r="BX15" s="1">
        <v>45.58</v>
      </c>
      <c r="BY15" s="1">
        <v>45.51</v>
      </c>
      <c r="BZ15" s="1">
        <v>44.55</v>
      </c>
      <c r="CA15" s="1">
        <v>44.19</v>
      </c>
      <c r="CB15" s="1">
        <v>44.96</v>
      </c>
      <c r="CC15" s="1">
        <v>44.39</v>
      </c>
      <c r="CD15" s="1">
        <v>45.07</v>
      </c>
      <c r="CE15" s="1">
        <v>44.28</v>
      </c>
      <c r="CF15" s="1">
        <v>44.28</v>
      </c>
      <c r="CG15" s="1">
        <v>44.74</v>
      </c>
      <c r="CH15" s="1">
        <v>45.8</v>
      </c>
      <c r="CI15" s="1">
        <v>47.08</v>
      </c>
      <c r="CJ15" s="1">
        <v>47</v>
      </c>
      <c r="CK15" s="1">
        <v>46.4</v>
      </c>
      <c r="CL15" s="1">
        <v>46.07</v>
      </c>
      <c r="CM15" s="1">
        <v>45.8</v>
      </c>
      <c r="CN15" s="1">
        <v>45.76</v>
      </c>
      <c r="CO15" s="1">
        <v>44.87</v>
      </c>
      <c r="CP15" s="1">
        <v>44.39</v>
      </c>
      <c r="CQ15" s="1">
        <v>43.88</v>
      </c>
      <c r="CR15" s="1">
        <v>42.22</v>
      </c>
      <c r="CS15" s="1">
        <v>40.29</v>
      </c>
      <c r="CT15" s="1">
        <v>41.17</v>
      </c>
      <c r="CU15" s="1">
        <v>41.2</v>
      </c>
      <c r="CV15" s="1">
        <v>41.17</v>
      </c>
      <c r="CW15" s="1">
        <v>38.520000000000003</v>
      </c>
      <c r="CX15" s="1">
        <v>39.15</v>
      </c>
      <c r="CY15" s="1">
        <v>39.42</v>
      </c>
      <c r="CZ15" s="1">
        <v>40.46</v>
      </c>
      <c r="DA15" s="1">
        <v>40.520000000000003</v>
      </c>
      <c r="DB15" s="1">
        <v>40.93</v>
      </c>
      <c r="DC15" s="1">
        <v>40.81</v>
      </c>
      <c r="DD15" s="1">
        <v>39.32</v>
      </c>
      <c r="DE15" s="1">
        <v>37.979999999999997</v>
      </c>
      <c r="DF15" s="1">
        <v>37.520000000000003</v>
      </c>
      <c r="DG15" s="1">
        <v>37.44</v>
      </c>
      <c r="DH15" s="1">
        <v>37.61</v>
      </c>
      <c r="DI15" s="1">
        <v>36.909999999999997</v>
      </c>
      <c r="DJ15" s="1">
        <v>36.67</v>
      </c>
      <c r="DK15" s="1">
        <v>36.979999999999997</v>
      </c>
      <c r="DL15" s="1">
        <v>36.479999999999997</v>
      </c>
      <c r="DM15" s="1">
        <v>36.75</v>
      </c>
      <c r="DN15" s="1">
        <v>35.29</v>
      </c>
      <c r="DO15" s="1">
        <v>36.04</v>
      </c>
      <c r="DP15" s="1">
        <v>36.4</v>
      </c>
      <c r="DQ15" s="1">
        <v>36.33</v>
      </c>
      <c r="DR15" s="1">
        <v>36.89</v>
      </c>
      <c r="DS15" s="1">
        <v>36.82</v>
      </c>
      <c r="DT15" s="1">
        <v>36.53</v>
      </c>
      <c r="DU15" s="1">
        <v>37.08</v>
      </c>
      <c r="DV15" s="1">
        <v>37.450000000000003</v>
      </c>
      <c r="DW15" s="1">
        <v>38.43</v>
      </c>
      <c r="DX15" s="1">
        <v>38.58</v>
      </c>
      <c r="DY15" s="1">
        <v>37.96</v>
      </c>
      <c r="DZ15" s="1">
        <v>38.020000000000003</v>
      </c>
      <c r="EA15" s="1">
        <v>38.83</v>
      </c>
      <c r="EB15" s="1">
        <v>38.72</v>
      </c>
      <c r="EC15" s="1">
        <v>39.78</v>
      </c>
      <c r="ED15" s="1">
        <v>38.58</v>
      </c>
      <c r="EE15" s="1">
        <v>39.07</v>
      </c>
      <c r="EF15" s="1">
        <v>38.5</v>
      </c>
      <c r="EG15" s="1">
        <v>36.659999999999997</v>
      </c>
      <c r="EH15" s="1">
        <v>37.76</v>
      </c>
      <c r="EI15" s="1">
        <v>37.450000000000003</v>
      </c>
      <c r="EJ15" s="1">
        <v>37.619999999999997</v>
      </c>
      <c r="EK15" s="1">
        <v>38.159999999999997</v>
      </c>
      <c r="EL15" s="1">
        <v>38.590000000000003</v>
      </c>
      <c r="EM15" s="1">
        <v>39.630000000000003</v>
      </c>
      <c r="EN15" s="1">
        <v>47.42</v>
      </c>
      <c r="EO15" s="1">
        <v>48.45</v>
      </c>
      <c r="EP15" s="1">
        <v>49.23</v>
      </c>
      <c r="EQ15" s="1">
        <v>49.37</v>
      </c>
      <c r="ER15" s="1">
        <v>49.57</v>
      </c>
      <c r="ES15" s="1">
        <v>48.93</v>
      </c>
      <c r="ET15" s="1">
        <v>48.74</v>
      </c>
      <c r="EU15" s="1">
        <v>49.12</v>
      </c>
      <c r="EV15" s="1">
        <v>49.37</v>
      </c>
      <c r="EW15" s="1">
        <v>47.64</v>
      </c>
      <c r="EX15" s="1">
        <v>43.34</v>
      </c>
      <c r="EY15" s="1">
        <v>47.19</v>
      </c>
      <c r="EZ15" s="1">
        <v>50.3</v>
      </c>
      <c r="FA15" s="1">
        <v>58.93</v>
      </c>
      <c r="FB15" s="1">
        <v>59.43</v>
      </c>
      <c r="FC15" s="1">
        <v>59.33</v>
      </c>
      <c r="FD15" s="1">
        <v>60.33</v>
      </c>
      <c r="FE15" s="1">
        <v>62.89</v>
      </c>
      <c r="FF15" s="1">
        <v>63.98</v>
      </c>
      <c r="FG15" s="1">
        <v>62.26</v>
      </c>
      <c r="FH15" s="1">
        <v>62.23</v>
      </c>
      <c r="FI15" s="1">
        <v>59.32</v>
      </c>
      <c r="FJ15" s="1">
        <v>60.68</v>
      </c>
      <c r="FK15" s="1">
        <v>62.33</v>
      </c>
      <c r="FL15" s="1">
        <v>57.12</v>
      </c>
      <c r="FM15" s="1">
        <v>58.91</v>
      </c>
      <c r="FN15" s="1">
        <v>59.64</v>
      </c>
      <c r="FO15" s="1">
        <v>59.86</v>
      </c>
      <c r="FP15" s="1">
        <v>58.81</v>
      </c>
      <c r="FQ15" s="1">
        <v>57.34</v>
      </c>
      <c r="FR15" s="1">
        <v>56.57</v>
      </c>
      <c r="FS15" s="1">
        <v>56.26</v>
      </c>
      <c r="FT15" s="1">
        <v>55.11</v>
      </c>
      <c r="FU15" s="1">
        <v>52.39</v>
      </c>
      <c r="FV15" s="1">
        <v>50.88</v>
      </c>
      <c r="FW15" s="1">
        <v>51.22</v>
      </c>
      <c r="FX15" s="1">
        <v>51.47</v>
      </c>
      <c r="FY15" s="1">
        <v>52.4</v>
      </c>
      <c r="FZ15" s="1">
        <v>52.56</v>
      </c>
      <c r="GA15" s="1">
        <v>51.61</v>
      </c>
      <c r="GB15" s="1">
        <v>48.1</v>
      </c>
      <c r="GC15" s="1">
        <v>48.09</v>
      </c>
      <c r="GD15" s="1">
        <v>47.61</v>
      </c>
      <c r="GE15" s="1">
        <v>47.77</v>
      </c>
      <c r="GF15" s="1">
        <v>48.96</v>
      </c>
      <c r="GG15" s="1">
        <v>50.37</v>
      </c>
      <c r="GH15" s="1">
        <v>50.18</v>
      </c>
      <c r="GI15" s="1">
        <v>50.29</v>
      </c>
      <c r="GJ15" s="1">
        <v>49.05</v>
      </c>
      <c r="GK15" s="1">
        <v>46.36</v>
      </c>
      <c r="GL15" s="1">
        <v>46.77</v>
      </c>
      <c r="GM15" s="1">
        <v>47.86</v>
      </c>
      <c r="GN15" s="1">
        <v>47.99</v>
      </c>
      <c r="GO15" s="1">
        <v>47.57</v>
      </c>
      <c r="GP15" s="1">
        <v>47.43</v>
      </c>
      <c r="GQ15" s="1">
        <v>48.43</v>
      </c>
      <c r="GR15" s="1">
        <v>49.35</v>
      </c>
      <c r="GS15" s="1">
        <v>48.71</v>
      </c>
      <c r="GT15" s="1">
        <v>47.06</v>
      </c>
      <c r="GU15" s="1">
        <v>44.97</v>
      </c>
      <c r="GV15" s="1">
        <v>47.63</v>
      </c>
      <c r="GW15" s="1">
        <v>47.6</v>
      </c>
      <c r="GX15" s="1">
        <v>49</v>
      </c>
      <c r="GY15" s="1">
        <v>47.55</v>
      </c>
      <c r="GZ15" s="1">
        <v>48.46</v>
      </c>
      <c r="HA15" s="1">
        <v>48.26</v>
      </c>
      <c r="HB15" s="1">
        <v>49.16</v>
      </c>
      <c r="HC15" s="1">
        <v>50.26</v>
      </c>
      <c r="HD15" s="1">
        <v>49.15</v>
      </c>
      <c r="HE15" s="1">
        <v>45.94</v>
      </c>
      <c r="HF15" s="1">
        <v>45.68</v>
      </c>
      <c r="HG15" s="1">
        <v>46.51</v>
      </c>
      <c r="HH15" s="1">
        <v>48.46</v>
      </c>
      <c r="HI15" s="1">
        <v>48.25</v>
      </c>
      <c r="HJ15" s="1">
        <v>49.11</v>
      </c>
      <c r="HK15" s="1">
        <v>49.46</v>
      </c>
      <c r="HL15" s="1">
        <v>50.04</v>
      </c>
      <c r="HM15" s="1">
        <v>51.37</v>
      </c>
      <c r="HN15" s="1">
        <v>52.05</v>
      </c>
      <c r="HO15" s="1">
        <v>52.89</v>
      </c>
      <c r="HP15" s="1">
        <v>52.96</v>
      </c>
      <c r="HQ15" s="1">
        <v>53.23</v>
      </c>
      <c r="HR15" s="1">
        <v>53.38</v>
      </c>
      <c r="HS15" s="1">
        <v>54.78</v>
      </c>
      <c r="HT15" s="1">
        <v>55.74</v>
      </c>
      <c r="HU15" s="1">
        <v>54.37</v>
      </c>
      <c r="HV15" s="1">
        <v>56.09</v>
      </c>
      <c r="HW15" s="1">
        <v>56.72</v>
      </c>
      <c r="HX15" s="1">
        <v>56.66</v>
      </c>
      <c r="HY15" s="1">
        <v>57.5</v>
      </c>
      <c r="HZ15" s="1">
        <v>56.93</v>
      </c>
      <c r="IA15" s="1">
        <v>58.68</v>
      </c>
      <c r="IB15" s="1">
        <v>59.61</v>
      </c>
      <c r="IC15" s="1">
        <v>59.02</v>
      </c>
      <c r="ID15" s="1">
        <v>59.65</v>
      </c>
      <c r="IE15" s="1">
        <v>59.63</v>
      </c>
      <c r="IF15" s="1">
        <v>58.74</v>
      </c>
      <c r="IG15" s="1">
        <v>59.17</v>
      </c>
      <c r="IH15" s="1">
        <v>55.49</v>
      </c>
      <c r="II15" s="1">
        <v>55.5</v>
      </c>
      <c r="IJ15" s="1">
        <v>55.61</v>
      </c>
      <c r="IK15" s="1">
        <v>56.04</v>
      </c>
      <c r="IL15" s="1">
        <v>58.74</v>
      </c>
      <c r="IM15" s="1">
        <v>59.54</v>
      </c>
      <c r="IN15" s="1">
        <v>60.71</v>
      </c>
      <c r="IO15" s="1">
        <v>61.4</v>
      </c>
      <c r="IP15" s="1">
        <v>61.85</v>
      </c>
      <c r="IQ15" s="1">
        <v>58.2</v>
      </c>
      <c r="IR15" s="1">
        <v>57.2</v>
      </c>
      <c r="IS15" s="1">
        <v>55.62</v>
      </c>
      <c r="IT15" s="1">
        <v>54.87</v>
      </c>
      <c r="IU15" s="1">
        <v>54.3</v>
      </c>
      <c r="IV15" s="1">
        <v>54.37</v>
      </c>
      <c r="IW15" s="1">
        <v>54.3</v>
      </c>
      <c r="IX15" s="1">
        <v>54.28</v>
      </c>
      <c r="IY15" s="1">
        <v>55.23</v>
      </c>
      <c r="IZ15" s="1">
        <v>56.14</v>
      </c>
      <c r="JA15" s="1">
        <v>56.74</v>
      </c>
      <c r="JB15" s="1">
        <v>56.38</v>
      </c>
      <c r="JC15" s="1">
        <v>56.46</v>
      </c>
      <c r="JD15" s="1">
        <v>56.11</v>
      </c>
      <c r="JE15" s="1">
        <v>56.44</v>
      </c>
      <c r="JF15" s="1">
        <v>55.34</v>
      </c>
      <c r="JG15" s="1">
        <v>56.34</v>
      </c>
      <c r="JH15" s="1">
        <v>56.98</v>
      </c>
      <c r="JI15" s="1">
        <v>55.45</v>
      </c>
      <c r="JJ15" s="1">
        <v>54.3</v>
      </c>
      <c r="JK15" s="1">
        <v>54.78</v>
      </c>
      <c r="JL15" s="1">
        <v>53.75</v>
      </c>
      <c r="JM15" s="1">
        <v>52.41</v>
      </c>
      <c r="JN15" s="1">
        <v>50.95</v>
      </c>
      <c r="JO15" s="1">
        <v>50.9</v>
      </c>
      <c r="JP15" s="1">
        <v>49.78</v>
      </c>
      <c r="JQ15" s="1">
        <v>49.87</v>
      </c>
      <c r="JR15" s="1">
        <v>51.08</v>
      </c>
      <c r="JS15" s="1">
        <v>48.76</v>
      </c>
      <c r="JT15" s="1">
        <v>45.38</v>
      </c>
      <c r="JU15" s="1">
        <v>47.22</v>
      </c>
      <c r="JV15" s="1">
        <v>48.81</v>
      </c>
      <c r="JW15" s="1">
        <v>48.19</v>
      </c>
      <c r="JX15" s="1">
        <v>47.07</v>
      </c>
      <c r="JY15" s="1">
        <v>50.03</v>
      </c>
      <c r="JZ15" s="1">
        <v>53.94</v>
      </c>
      <c r="KA15" s="1">
        <v>69</v>
      </c>
      <c r="KB15" s="1">
        <v>71.7</v>
      </c>
      <c r="KC15" s="1">
        <v>70.73</v>
      </c>
      <c r="KD15" s="1">
        <v>70.03</v>
      </c>
      <c r="KE15" s="1">
        <v>66.78</v>
      </c>
      <c r="KF15" s="1">
        <v>64.92</v>
      </c>
      <c r="KG15" s="1">
        <v>64.31</v>
      </c>
      <c r="KH15" s="1">
        <v>65.290000000000006</v>
      </c>
      <c r="KI15" s="1">
        <v>67.040000000000006</v>
      </c>
      <c r="KJ15" s="1">
        <v>67.22</v>
      </c>
      <c r="KK15" s="1">
        <v>68.94</v>
      </c>
      <c r="KL15" s="1">
        <v>68.930000000000007</v>
      </c>
      <c r="KM15" s="1">
        <v>71.010000000000005</v>
      </c>
      <c r="KN15" s="1">
        <v>69.69</v>
      </c>
      <c r="KO15" s="1">
        <v>69.64</v>
      </c>
      <c r="KP15" s="1">
        <v>69.319999999999993</v>
      </c>
      <c r="KQ15" s="1">
        <v>69.17</v>
      </c>
      <c r="KR15" s="1">
        <v>69.819999999999993</v>
      </c>
      <c r="KS15" s="1">
        <v>69.819999999999993</v>
      </c>
      <c r="KT15" s="1">
        <v>69.02</v>
      </c>
    </row>
    <row r="16" spans="1:307" x14ac:dyDescent="0.25">
      <c r="A16" t="s">
        <v>330</v>
      </c>
      <c r="B16"/>
      <c r="C16"/>
      <c r="D16" s="1">
        <f>+D15</f>
        <v>9</v>
      </c>
      <c r="E16" s="13" t="s">
        <v>23</v>
      </c>
      <c r="F16" t="s">
        <v>314</v>
      </c>
      <c r="G16" s="54">
        <v>306.5</v>
      </c>
      <c r="H16" s="6">
        <f>+G16*L16/DKK</f>
        <v>210300.68479417617</v>
      </c>
      <c r="I16" s="6">
        <f>([9]Main!$J$5-[9]Main!$J$6)/DKK</f>
        <v>-17878.526150192021</v>
      </c>
      <c r="J16" s="6">
        <f t="shared" si="1"/>
        <v>228179.21094436818</v>
      </c>
      <c r="K16" s="3" t="s">
        <v>2007</v>
      </c>
      <c r="L16" s="6">
        <f>+[9]Main!$J$3</f>
        <v>4448.7</v>
      </c>
      <c r="M16" s="9">
        <f>+M15</f>
        <v>46227</v>
      </c>
      <c r="N16" s="7">
        <f>+[9]Model!$DQ$64</f>
        <v>325.56685111929261</v>
      </c>
      <c r="O16" s="10">
        <f>N16/G16-1</f>
        <v>6.2208323390840592E-2</v>
      </c>
      <c r="P16" s="10">
        <f>[9]Model!$DQ$60*-1</f>
        <v>0.01</v>
      </c>
      <c r="Q16" s="10">
        <f>+[9]Model!$DQ$61</f>
        <v>-0.01</v>
      </c>
      <c r="R16" s="10">
        <f>+[9]Model!$DQ$62</f>
        <v>0.08</v>
      </c>
      <c r="S16" s="4" t="s">
        <v>1677</v>
      </c>
      <c r="T16" s="4" t="s">
        <v>1677</v>
      </c>
      <c r="U16" s="4" t="s">
        <v>1677</v>
      </c>
      <c r="V16" s="4" t="s">
        <v>1677</v>
      </c>
      <c r="W16" s="112" t="s">
        <v>1677</v>
      </c>
      <c r="X16" s="4" t="s">
        <v>1677</v>
      </c>
      <c r="Y16" s="4" t="s">
        <v>1677</v>
      </c>
      <c r="Z16" s="4" t="s">
        <v>1677</v>
      </c>
      <c r="AA16" s="4" t="s">
        <v>1677</v>
      </c>
      <c r="AB16" s="125" t="s">
        <v>1677</v>
      </c>
      <c r="AC16" s="61" t="s">
        <v>1677</v>
      </c>
      <c r="AD16" s="61" t="s">
        <v>1677</v>
      </c>
      <c r="AE16" s="61" t="s">
        <v>1677</v>
      </c>
      <c r="AF16" s="61" t="s">
        <v>1677</v>
      </c>
      <c r="AG16" s="61" t="s">
        <v>1677</v>
      </c>
      <c r="AH16" s="61" t="s">
        <v>1677</v>
      </c>
      <c r="AI16" s="61" t="s">
        <v>1677</v>
      </c>
      <c r="AJ16" s="61" t="s">
        <v>1677</v>
      </c>
      <c r="AK16" s="61" t="s">
        <v>1677</v>
      </c>
      <c r="AL16" s="1">
        <v>1923</v>
      </c>
      <c r="AM16" t="s">
        <v>2224</v>
      </c>
      <c r="AN16" t="s">
        <v>1121</v>
      </c>
    </row>
    <row r="17" spans="1:306" x14ac:dyDescent="0.25">
      <c r="A17" t="s">
        <v>330</v>
      </c>
      <c r="B17"/>
      <c r="C17"/>
      <c r="D17" s="1">
        <f>+D16+1</f>
        <v>10</v>
      </c>
      <c r="E17" s="13" t="s">
        <v>21</v>
      </c>
      <c r="F17" s="1" t="s">
        <v>22</v>
      </c>
      <c r="G17" s="7">
        <v>25.04</v>
      </c>
      <c r="H17" s="6">
        <f>+L17*G17</f>
        <v>142714.08199176</v>
      </c>
      <c r="I17" s="6">
        <f>+[10]Main!$K$5-[10]Main!$K$6</f>
        <v>-49754</v>
      </c>
      <c r="J17" s="6">
        <f t="shared" si="1"/>
        <v>192468.08199176</v>
      </c>
      <c r="K17" s="3" t="s">
        <v>2007</v>
      </c>
      <c r="L17" s="6">
        <f>+[10]Main!$K$3</f>
        <v>5699.4441690000003</v>
      </c>
      <c r="M17" s="9">
        <v>46227</v>
      </c>
      <c r="N17" s="9"/>
      <c r="O17" s="9"/>
      <c r="P17" s="9"/>
      <c r="Q17" s="9"/>
      <c r="R17" s="9"/>
      <c r="S17" s="11">
        <f t="shared" ref="S17:V21" si="35">($J17/$L17)/AB17</f>
        <v>5.4467134180868282</v>
      </c>
      <c r="T17" s="11">
        <f t="shared" si="35"/>
        <v>27.680019009949454</v>
      </c>
      <c r="U17" s="11">
        <f t="shared" si="35"/>
        <v>14.682444866147103</v>
      </c>
      <c r="V17" s="11">
        <f t="shared" si="35"/>
        <v>9.6761097971743073</v>
      </c>
      <c r="W17" s="114">
        <f t="shared" ref="W17" si="36">($J17/$L17)/AF17</f>
        <v>11.370243499036475</v>
      </c>
      <c r="X17" s="119">
        <f t="shared" ref="X17" si="37">($J17/$L17)/AG17</f>
        <v>11.684990723923297</v>
      </c>
      <c r="Y17" s="11">
        <f t="shared" ref="Y17" si="38">($J17/$L17)/AH17</f>
        <v>13.671912223537786</v>
      </c>
      <c r="Z17" s="11">
        <f t="shared" ref="Z17" si="39">($J17/$L17)/AI17</f>
        <v>14.129549452777544</v>
      </c>
      <c r="AA17" s="11">
        <f t="shared" ref="AA17" si="40">($J17/$L17)/AJ17</f>
        <v>13.671912223537786</v>
      </c>
      <c r="AB17" s="125">
        <v>6.2</v>
      </c>
      <c r="AC17" s="61">
        <v>1.22</v>
      </c>
      <c r="AD17" s="61">
        <v>2.2999999999999998</v>
      </c>
      <c r="AE17" s="61">
        <v>3.49</v>
      </c>
      <c r="AF17" s="61">
        <v>2.97</v>
      </c>
      <c r="AG17" s="61">
        <v>2.89</v>
      </c>
      <c r="AH17" s="61">
        <v>2.4700000000000002</v>
      </c>
      <c r="AI17" s="61">
        <v>2.39</v>
      </c>
      <c r="AJ17" s="61">
        <v>2.4700000000000002</v>
      </c>
      <c r="AK17" s="61">
        <v>2.54</v>
      </c>
      <c r="AM17" t="s">
        <v>2225</v>
      </c>
      <c r="AN17" s="1" t="s">
        <v>2042</v>
      </c>
      <c r="AO17" s="10">
        <f>BD17/FV17-1</f>
        <v>-2.4497991967871502E-2</v>
      </c>
      <c r="AP17" s="10">
        <f>BD17/BX17-1</f>
        <v>-7.2192513368984024E-2</v>
      </c>
      <c r="AQ17" s="10">
        <f>BD17/CA17-1</f>
        <v>-6.0348162475822087E-2</v>
      </c>
      <c r="AR17" s="122">
        <f>BD17/KT17-1</f>
        <v>2.0627062706271015E-3</v>
      </c>
      <c r="BD17" s="1">
        <v>24.29</v>
      </c>
      <c r="BE17" s="1">
        <v>23.67</v>
      </c>
      <c r="BF17" s="1">
        <v>24.04</v>
      </c>
      <c r="BG17" s="1">
        <v>24.72</v>
      </c>
      <c r="BH17" s="1">
        <v>25.08</v>
      </c>
      <c r="BJ17" s="1">
        <v>25.21</v>
      </c>
      <c r="BK17" s="1">
        <v>25.92</v>
      </c>
      <c r="BL17" s="1">
        <v>26.04</v>
      </c>
      <c r="BM17" s="1">
        <v>26</v>
      </c>
      <c r="BN17" s="1">
        <v>26.21</v>
      </c>
      <c r="BO17" s="1">
        <v>26.17</v>
      </c>
      <c r="BP17" s="1">
        <v>25.6</v>
      </c>
      <c r="BQ17" s="1">
        <v>25.7</v>
      </c>
      <c r="BR17" s="1">
        <v>25.62</v>
      </c>
      <c r="BS17" s="1">
        <v>26.04</v>
      </c>
      <c r="BT17" s="1">
        <v>25.69</v>
      </c>
      <c r="BU17" s="1">
        <v>25.34</v>
      </c>
      <c r="BV17" s="1">
        <v>25.55</v>
      </c>
      <c r="BW17" s="1">
        <v>25.63</v>
      </c>
      <c r="BX17" s="1">
        <v>26.18</v>
      </c>
      <c r="BY17" s="1">
        <v>26.14</v>
      </c>
      <c r="BZ17" s="1">
        <v>26.21</v>
      </c>
      <c r="CA17" s="1">
        <v>25.85</v>
      </c>
      <c r="CB17" s="1">
        <v>25.9</v>
      </c>
      <c r="CC17" s="1">
        <v>25.95</v>
      </c>
      <c r="CD17" s="1">
        <v>25.79</v>
      </c>
      <c r="CE17" s="1">
        <v>25.66</v>
      </c>
      <c r="CF17" s="1">
        <v>25.33</v>
      </c>
      <c r="CG17" s="1">
        <v>25.33</v>
      </c>
      <c r="CH17" s="1">
        <v>25.75</v>
      </c>
      <c r="CI17" s="1">
        <v>25.96</v>
      </c>
      <c r="CJ17" s="1">
        <v>25.87</v>
      </c>
      <c r="CK17" s="1">
        <v>25.81</v>
      </c>
      <c r="CL17" s="1">
        <v>25.68</v>
      </c>
      <c r="CM17" s="1">
        <v>26.48</v>
      </c>
      <c r="CN17" s="1">
        <v>26.53</v>
      </c>
      <c r="CO17" s="1">
        <v>26.45</v>
      </c>
      <c r="CP17" s="1">
        <v>26.3</v>
      </c>
      <c r="CQ17" s="1">
        <v>26.33</v>
      </c>
      <c r="CR17" s="1">
        <v>26.7</v>
      </c>
      <c r="CS17" s="1">
        <v>26.26</v>
      </c>
      <c r="CT17" s="1">
        <v>26.48</v>
      </c>
      <c r="CU17" s="1">
        <v>26.79</v>
      </c>
      <c r="CV17" s="1">
        <v>27</v>
      </c>
      <c r="CW17" s="1">
        <v>26.67</v>
      </c>
      <c r="CX17" s="1">
        <v>26.8</v>
      </c>
      <c r="CY17" s="1">
        <v>27.31</v>
      </c>
      <c r="CZ17" s="1">
        <v>27.52</v>
      </c>
      <c r="DA17" s="1">
        <v>27.56</v>
      </c>
      <c r="DB17" s="1">
        <v>27.22</v>
      </c>
      <c r="DC17" s="1">
        <v>27.19</v>
      </c>
      <c r="DD17" s="1">
        <v>27.11</v>
      </c>
      <c r="DE17" s="1">
        <v>27.34</v>
      </c>
      <c r="DF17" s="1">
        <v>26.92</v>
      </c>
      <c r="DG17" s="1">
        <v>27.22</v>
      </c>
      <c r="DH17" s="1">
        <v>27.47</v>
      </c>
      <c r="DI17" s="1">
        <v>27.1</v>
      </c>
      <c r="DJ17" s="1">
        <v>27.83</v>
      </c>
      <c r="DK17" s="1">
        <v>28.32</v>
      </c>
      <c r="DL17" s="1">
        <v>28.55</v>
      </c>
      <c r="DM17" s="1">
        <v>28.08</v>
      </c>
      <c r="DN17" s="1">
        <v>27.77</v>
      </c>
      <c r="DO17" s="1">
        <v>27.04</v>
      </c>
      <c r="DP17" s="1">
        <v>27.57</v>
      </c>
      <c r="DQ17" s="1">
        <v>27.28</v>
      </c>
      <c r="DR17" s="1">
        <v>26.96</v>
      </c>
      <c r="DS17" s="1">
        <v>26.77</v>
      </c>
      <c r="DT17" s="1">
        <v>26.97</v>
      </c>
      <c r="DU17" s="1">
        <v>27.41</v>
      </c>
      <c r="DV17" s="1">
        <v>27.32</v>
      </c>
      <c r="DW17" s="1">
        <v>27.45</v>
      </c>
      <c r="DX17" s="1">
        <v>26.61</v>
      </c>
      <c r="DY17" s="1">
        <v>26.58</v>
      </c>
      <c r="DZ17" s="1">
        <v>26.86</v>
      </c>
      <c r="EA17" s="1">
        <v>27.3</v>
      </c>
      <c r="EB17" s="1">
        <v>27.16</v>
      </c>
      <c r="EC17" s="1">
        <v>26.81</v>
      </c>
      <c r="ED17" s="1">
        <v>27.05</v>
      </c>
      <c r="EE17" s="1">
        <v>26.61</v>
      </c>
      <c r="EF17" s="1">
        <v>26.62</v>
      </c>
      <c r="EG17" s="1">
        <v>26.58</v>
      </c>
      <c r="EH17" s="1">
        <v>27.26</v>
      </c>
      <c r="EI17" s="1">
        <v>27.65</v>
      </c>
      <c r="EJ17" s="1">
        <v>27.1</v>
      </c>
      <c r="EK17" s="1">
        <v>27.09</v>
      </c>
      <c r="EL17" s="1">
        <v>27.14</v>
      </c>
      <c r="EM17" s="1">
        <v>27.06</v>
      </c>
      <c r="EN17" s="1">
        <v>26.65</v>
      </c>
      <c r="EO17" s="1">
        <v>26.86</v>
      </c>
      <c r="EP17" s="1">
        <v>27.37</v>
      </c>
      <c r="EQ17" s="1">
        <v>27.37</v>
      </c>
      <c r="ER17" s="1">
        <v>27.58</v>
      </c>
      <c r="ES17" s="1">
        <v>27.47</v>
      </c>
      <c r="ET17" s="1">
        <v>27.73</v>
      </c>
      <c r="EU17" s="1">
        <v>27.61</v>
      </c>
      <c r="EV17" s="1">
        <v>27.05</v>
      </c>
      <c r="EW17" s="1">
        <v>27.22</v>
      </c>
      <c r="EX17" s="1">
        <v>26.49</v>
      </c>
      <c r="EY17" s="1">
        <v>26.78</v>
      </c>
      <c r="EZ17" s="1">
        <v>25.77</v>
      </c>
      <c r="FA17" s="1">
        <v>26.66</v>
      </c>
      <c r="FB17" s="1">
        <v>26.44</v>
      </c>
      <c r="FC17" s="1">
        <v>26.1</v>
      </c>
      <c r="FD17" s="1">
        <v>25.86</v>
      </c>
      <c r="FE17" s="1">
        <v>26.5</v>
      </c>
      <c r="FF17" s="1">
        <v>25.88</v>
      </c>
      <c r="FG17" s="1">
        <v>25.65</v>
      </c>
      <c r="FH17" s="1">
        <v>26.1</v>
      </c>
      <c r="FI17" s="1">
        <v>25.89</v>
      </c>
      <c r="FJ17" s="1">
        <v>25.52</v>
      </c>
      <c r="FK17" s="1">
        <v>25.65</v>
      </c>
      <c r="FL17" s="1">
        <v>25.89</v>
      </c>
      <c r="FM17" s="1">
        <v>25.58</v>
      </c>
      <c r="FN17" s="1">
        <v>25.15</v>
      </c>
      <c r="FO17" s="1">
        <v>25.27</v>
      </c>
      <c r="FP17" s="1">
        <v>25.48</v>
      </c>
      <c r="FQ17" s="1">
        <v>25.29</v>
      </c>
      <c r="FR17" s="1">
        <v>25.28</v>
      </c>
      <c r="FS17" s="1">
        <v>25.43</v>
      </c>
      <c r="FT17" s="1">
        <v>25.17</v>
      </c>
      <c r="FU17" s="1">
        <v>25.18</v>
      </c>
      <c r="FV17" s="1">
        <v>24.9</v>
      </c>
      <c r="FW17" s="1">
        <v>24.99</v>
      </c>
      <c r="FX17" s="1">
        <v>25</v>
      </c>
      <c r="FY17" s="1">
        <v>25.09</v>
      </c>
      <c r="FZ17" s="1">
        <v>25.03</v>
      </c>
      <c r="GA17" s="1">
        <v>24.88</v>
      </c>
      <c r="GB17" s="1">
        <v>25.21</v>
      </c>
      <c r="GC17" s="1">
        <v>25.19</v>
      </c>
      <c r="GD17" s="1">
        <v>25.04</v>
      </c>
      <c r="GE17" s="1">
        <v>25.04</v>
      </c>
      <c r="GF17" s="1">
        <v>25.53</v>
      </c>
      <c r="GG17" s="1">
        <v>26.43</v>
      </c>
      <c r="GH17" s="1">
        <v>25.85</v>
      </c>
      <c r="GI17" s="1">
        <v>25.8</v>
      </c>
      <c r="GJ17" s="1">
        <v>25.78</v>
      </c>
      <c r="GK17" s="1">
        <v>25.33</v>
      </c>
      <c r="GL17" s="1">
        <v>25.77</v>
      </c>
      <c r="GM17" s="1">
        <v>26.03</v>
      </c>
      <c r="GN17" s="1">
        <v>25.7</v>
      </c>
      <c r="GO17" s="1">
        <v>25.57</v>
      </c>
      <c r="GP17" s="1">
        <v>25.15</v>
      </c>
      <c r="GQ17" s="1">
        <v>25.27</v>
      </c>
      <c r="GR17" s="1">
        <v>25.74</v>
      </c>
      <c r="GS17" s="1">
        <v>25.71</v>
      </c>
      <c r="GT17" s="1">
        <v>25.72</v>
      </c>
      <c r="GU17" s="1">
        <v>25.22</v>
      </c>
      <c r="GV17" s="1">
        <v>25.04</v>
      </c>
      <c r="GW17" s="1">
        <v>24.4</v>
      </c>
      <c r="GX17" s="1">
        <v>24.88</v>
      </c>
      <c r="GY17" s="1">
        <v>25.45</v>
      </c>
      <c r="GZ17" s="1">
        <v>25.08</v>
      </c>
      <c r="HA17" s="1">
        <v>25.06</v>
      </c>
      <c r="HB17" s="1">
        <v>25.79</v>
      </c>
      <c r="HC17" s="1">
        <v>25.87</v>
      </c>
      <c r="HD17" s="1">
        <v>25.51</v>
      </c>
      <c r="HE17" s="1">
        <v>24.39</v>
      </c>
      <c r="HF17" s="1">
        <v>24.43</v>
      </c>
      <c r="HG17" s="1">
        <v>24.85</v>
      </c>
      <c r="HH17" s="1">
        <v>24.61</v>
      </c>
      <c r="HI17" s="1">
        <v>24.3</v>
      </c>
      <c r="HJ17" s="1">
        <v>24.66</v>
      </c>
      <c r="HK17" s="1">
        <v>24.65</v>
      </c>
      <c r="HL17" s="1">
        <v>24.29</v>
      </c>
      <c r="HM17" s="1">
        <v>24.29</v>
      </c>
      <c r="HN17" s="1">
        <v>24.5</v>
      </c>
      <c r="HO17" s="1">
        <v>24.77</v>
      </c>
      <c r="HP17" s="1">
        <v>24.76</v>
      </c>
      <c r="HQ17" s="1">
        <v>24.67</v>
      </c>
      <c r="HR17" s="1">
        <v>24.72</v>
      </c>
      <c r="HS17" s="1">
        <v>24.85</v>
      </c>
      <c r="HT17" s="1">
        <v>24.69</v>
      </c>
      <c r="HU17" s="1">
        <v>24.51</v>
      </c>
      <c r="HV17" s="1">
        <v>24.23</v>
      </c>
      <c r="HW17" s="1">
        <v>24.39</v>
      </c>
      <c r="HX17" s="1">
        <v>24.52</v>
      </c>
      <c r="HY17" s="1">
        <v>24.73</v>
      </c>
      <c r="HZ17" s="1">
        <v>24.78</v>
      </c>
      <c r="IA17" s="1">
        <v>25.24</v>
      </c>
      <c r="IB17" s="1">
        <v>25.68</v>
      </c>
      <c r="IC17" s="1">
        <v>26.27</v>
      </c>
      <c r="ID17" s="1">
        <v>26.43</v>
      </c>
      <c r="IE17" s="1">
        <v>27.37</v>
      </c>
      <c r="IF17" s="1">
        <v>27.08</v>
      </c>
      <c r="IG17" s="1">
        <v>27.21</v>
      </c>
      <c r="IH17" s="1">
        <v>25.48</v>
      </c>
      <c r="II17" s="1">
        <v>23.85</v>
      </c>
      <c r="IJ17" s="1">
        <v>23.76</v>
      </c>
      <c r="IK17" s="1">
        <v>23.6</v>
      </c>
      <c r="IL17" s="1">
        <v>24.09</v>
      </c>
      <c r="IM17" s="1">
        <v>24.13</v>
      </c>
      <c r="IN17" s="1">
        <v>24.04</v>
      </c>
      <c r="IO17" s="1">
        <v>24.03</v>
      </c>
      <c r="IP17" s="1">
        <v>24.15</v>
      </c>
      <c r="IQ17" s="1">
        <v>24.05</v>
      </c>
      <c r="IR17" s="1">
        <v>23.9</v>
      </c>
      <c r="IS17" s="1">
        <v>23.97</v>
      </c>
      <c r="IT17" s="1">
        <v>23.87</v>
      </c>
      <c r="IU17" s="1">
        <v>24.86</v>
      </c>
      <c r="IV17" s="1">
        <v>24.57</v>
      </c>
      <c r="IW17" s="1">
        <v>24.71</v>
      </c>
      <c r="IX17" s="1">
        <v>24.55</v>
      </c>
      <c r="IY17" s="1">
        <v>24.88</v>
      </c>
      <c r="IZ17" s="1">
        <v>24.54</v>
      </c>
      <c r="JA17" s="1">
        <v>24.79</v>
      </c>
      <c r="JB17" s="1">
        <v>24.98</v>
      </c>
      <c r="JC17" s="1">
        <v>24.76</v>
      </c>
      <c r="JD17" s="1">
        <v>24.6</v>
      </c>
      <c r="JE17" s="1">
        <v>25.07</v>
      </c>
      <c r="JF17" s="1">
        <v>24.92</v>
      </c>
      <c r="JG17" s="1">
        <v>25.14</v>
      </c>
      <c r="JH17" s="1">
        <v>25.88</v>
      </c>
      <c r="JI17" s="1">
        <v>25.74</v>
      </c>
      <c r="JJ17" s="1">
        <v>25.38</v>
      </c>
      <c r="JK17" s="1">
        <v>25.32</v>
      </c>
      <c r="JL17" s="1">
        <v>25.07</v>
      </c>
      <c r="JM17" s="1">
        <v>25.14</v>
      </c>
      <c r="JN17" s="1">
        <v>25.11</v>
      </c>
      <c r="JO17" s="1">
        <v>25.16</v>
      </c>
      <c r="JP17" s="1">
        <v>24.65</v>
      </c>
      <c r="JQ17" s="1">
        <v>24.58</v>
      </c>
      <c r="JR17" s="1">
        <v>24.58</v>
      </c>
      <c r="JS17" s="1">
        <v>24.23</v>
      </c>
      <c r="JT17" s="1">
        <v>23.93</v>
      </c>
      <c r="JU17" s="1">
        <v>24.75</v>
      </c>
      <c r="JV17" s="1">
        <v>23.53</v>
      </c>
      <c r="JW17" s="1">
        <v>23.49</v>
      </c>
      <c r="JX17" s="1">
        <v>23.29</v>
      </c>
      <c r="JY17" s="1">
        <v>23.81</v>
      </c>
      <c r="JZ17" s="1">
        <v>24.3</v>
      </c>
      <c r="KA17" s="1">
        <v>24.31</v>
      </c>
      <c r="KB17" s="1">
        <v>24.79</v>
      </c>
      <c r="KC17" s="1">
        <v>25.35</v>
      </c>
      <c r="KD17" s="1">
        <v>25.36</v>
      </c>
      <c r="KE17" s="1">
        <v>25.14</v>
      </c>
      <c r="KF17" s="1">
        <v>24.26</v>
      </c>
      <c r="KG17" s="1">
        <v>24.47</v>
      </c>
      <c r="KH17" s="1">
        <v>24.58</v>
      </c>
      <c r="KI17" s="1">
        <v>24.61</v>
      </c>
      <c r="KJ17" s="1">
        <v>24.61</v>
      </c>
      <c r="KK17" s="1">
        <v>25.35</v>
      </c>
      <c r="KL17" s="1">
        <v>25.65</v>
      </c>
      <c r="KM17" s="1">
        <v>25.78</v>
      </c>
      <c r="KN17" s="1">
        <v>25.56</v>
      </c>
      <c r="KO17" s="1">
        <v>25.62</v>
      </c>
      <c r="KP17" s="1">
        <v>25.24</v>
      </c>
      <c r="KQ17" s="1">
        <v>25.38</v>
      </c>
      <c r="KR17" s="1">
        <v>25.32</v>
      </c>
      <c r="KS17" s="1">
        <v>25.04</v>
      </c>
      <c r="KT17" s="1">
        <v>24.24</v>
      </c>
    </row>
    <row r="18" spans="1:306" x14ac:dyDescent="0.25">
      <c r="A18" t="s">
        <v>330</v>
      </c>
      <c r="B18"/>
      <c r="C18"/>
      <c r="D18" s="1">
        <f>+D17+1</f>
        <v>11</v>
      </c>
      <c r="E18" s="13" t="s">
        <v>43</v>
      </c>
      <c r="F18" s="1" t="s">
        <v>44</v>
      </c>
      <c r="G18" s="7">
        <v>130.02000000000001</v>
      </c>
      <c r="H18" s="6">
        <f>+G18*L18</f>
        <v>163045.08000000002</v>
      </c>
      <c r="I18" s="6">
        <f>+[11]Main!$J$5-[11]Main!$J$6</f>
        <v>-13548</v>
      </c>
      <c r="J18" s="6">
        <f t="shared" si="1"/>
        <v>176593.08000000002</v>
      </c>
      <c r="K18" s="3" t="s">
        <v>2007</v>
      </c>
      <c r="L18" s="6">
        <f>+[11]Main!$J$3</f>
        <v>1254</v>
      </c>
      <c r="M18" s="9">
        <v>45768</v>
      </c>
      <c r="S18" s="11">
        <f t="shared" si="35"/>
        <v>21.434372564870042</v>
      </c>
      <c r="T18" s="11">
        <f t="shared" si="35"/>
        <v>23.431585316338801</v>
      </c>
      <c r="U18" s="11">
        <f t="shared" si="35"/>
        <v>23.123781239933692</v>
      </c>
      <c r="V18" s="11">
        <f t="shared" si="35"/>
        <v>19.185807595530814</v>
      </c>
      <c r="W18" s="114">
        <f t="shared" ref="W18" si="41">($J18/$L18)/AF18</f>
        <v>16.528618280656829</v>
      </c>
      <c r="X18" s="119">
        <f t="shared" ref="X18" si="42">($J18/$L18)/AG18</f>
        <v>14.267865020384619</v>
      </c>
      <c r="Y18" s="11">
        <f t="shared" ref="Y18" si="43">($J18/$L18)/AH18</f>
        <v>13.310380694820054</v>
      </c>
      <c r="Z18" s="11">
        <f t="shared" ref="Z18" si="44">($J18/$L18)/AI18</f>
        <v>11.974815284965661</v>
      </c>
      <c r="AA18" s="11">
        <f t="shared" ref="AA18" si="45">($J18/$L18)/AJ18</f>
        <v>11.079766148795922</v>
      </c>
      <c r="AB18" s="125">
        <v>6.57</v>
      </c>
      <c r="AC18" s="61">
        <v>6.01</v>
      </c>
      <c r="AD18" s="61">
        <v>6.09</v>
      </c>
      <c r="AE18" s="61">
        <v>7.34</v>
      </c>
      <c r="AF18" s="61">
        <v>8.52</v>
      </c>
      <c r="AG18" s="61">
        <v>9.8699999999999992</v>
      </c>
      <c r="AH18" s="61">
        <v>10.58</v>
      </c>
      <c r="AI18" s="61">
        <v>11.76</v>
      </c>
      <c r="AJ18" s="61">
        <v>12.71</v>
      </c>
      <c r="AK18" s="61">
        <v>13.56</v>
      </c>
      <c r="AM18" t="s">
        <v>2223</v>
      </c>
      <c r="AN18" s="1" t="s">
        <v>2042</v>
      </c>
      <c r="AO18" s="10">
        <f>BD18/FV18-1</f>
        <v>4.1877138667101299E-2</v>
      </c>
      <c r="AP18" s="10">
        <f>BD18/BX18-1</f>
        <v>-4.8724243100498499E-2</v>
      </c>
      <c r="AQ18" s="10">
        <f>BD18/CA18-1</f>
        <v>-4.3744859044342999E-2</v>
      </c>
      <c r="AR18" s="122">
        <f>BD18/KT18-1</f>
        <v>0.15342292775322441</v>
      </c>
      <c r="BD18" s="1">
        <v>127.88</v>
      </c>
      <c r="BE18" s="1">
        <v>123.84</v>
      </c>
      <c r="BF18" s="1">
        <v>125.16</v>
      </c>
      <c r="BG18" s="1">
        <v>125.05</v>
      </c>
      <c r="BH18" s="1">
        <v>124.87</v>
      </c>
      <c r="BJ18" s="1">
        <v>123.76</v>
      </c>
      <c r="BK18" s="1">
        <v>125.45</v>
      </c>
      <c r="BL18" s="1">
        <v>127.23</v>
      </c>
      <c r="BM18" s="1">
        <v>124.3</v>
      </c>
      <c r="BN18" s="1">
        <v>125.59</v>
      </c>
      <c r="BO18" s="1">
        <v>125.87</v>
      </c>
      <c r="BP18" s="1">
        <v>121.48</v>
      </c>
      <c r="BQ18" s="1">
        <v>125.5</v>
      </c>
      <c r="BR18" s="1">
        <v>128.1</v>
      </c>
      <c r="BS18" s="1">
        <v>129.16</v>
      </c>
      <c r="BT18" s="1">
        <v>129.18</v>
      </c>
      <c r="BU18" s="1">
        <v>128.99</v>
      </c>
      <c r="BV18" s="1">
        <v>127.57</v>
      </c>
      <c r="BW18" s="1">
        <v>131.1</v>
      </c>
      <c r="BX18" s="1">
        <v>134.43</v>
      </c>
      <c r="BY18" s="1">
        <v>136.22</v>
      </c>
      <c r="BZ18" s="1">
        <v>133.69</v>
      </c>
      <c r="CA18" s="1">
        <v>133.72999999999999</v>
      </c>
      <c r="CB18" s="1">
        <v>134.36000000000001</v>
      </c>
      <c r="CC18" s="1">
        <v>130.5</v>
      </c>
      <c r="CD18" s="1">
        <v>130.69</v>
      </c>
      <c r="CE18" s="1">
        <v>130.5</v>
      </c>
      <c r="CF18" s="1">
        <v>129.66999999999999</v>
      </c>
      <c r="CG18" s="1">
        <v>129.58000000000001</v>
      </c>
      <c r="CH18" s="1">
        <v>132.06</v>
      </c>
      <c r="CI18" s="1">
        <v>133.05000000000001</v>
      </c>
      <c r="CJ18" s="1">
        <v>134.94</v>
      </c>
      <c r="CK18" s="1">
        <v>133.52000000000001</v>
      </c>
      <c r="CL18" s="1">
        <v>131.33000000000001</v>
      </c>
      <c r="CM18" s="1">
        <v>134.06</v>
      </c>
      <c r="CN18" s="1">
        <v>136.30000000000001</v>
      </c>
      <c r="CO18" s="1">
        <v>133.47999999999999</v>
      </c>
      <c r="CP18" s="1">
        <v>132.69</v>
      </c>
      <c r="CQ18" s="1">
        <v>131.65</v>
      </c>
      <c r="CR18" s="1">
        <v>130.84</v>
      </c>
      <c r="CS18" s="1">
        <v>128.84</v>
      </c>
      <c r="CT18" s="1">
        <v>129.26</v>
      </c>
      <c r="CU18" s="1">
        <v>127.75</v>
      </c>
      <c r="CV18" s="1">
        <v>130.4</v>
      </c>
      <c r="CW18" s="1">
        <v>133.63999999999999</v>
      </c>
      <c r="CX18" s="1">
        <v>132.9</v>
      </c>
      <c r="CY18" s="1">
        <v>133.29</v>
      </c>
      <c r="CZ18" s="1">
        <v>135.87</v>
      </c>
      <c r="DA18" s="1">
        <v>137.63999999999999</v>
      </c>
      <c r="DB18" s="1">
        <v>138.55000000000001</v>
      </c>
      <c r="DC18" s="1">
        <v>139.77000000000001</v>
      </c>
      <c r="DD18" s="1">
        <v>140.44999999999999</v>
      </c>
      <c r="DE18" s="1">
        <v>139.03</v>
      </c>
      <c r="DF18" s="1">
        <v>138.99</v>
      </c>
      <c r="DG18" s="1">
        <v>142.09</v>
      </c>
      <c r="DH18" s="1">
        <v>141.54</v>
      </c>
      <c r="DI18" s="1">
        <v>138.80000000000001</v>
      </c>
      <c r="DJ18" s="1">
        <v>140.13</v>
      </c>
      <c r="DK18" s="1">
        <v>139.71</v>
      </c>
      <c r="DL18" s="1">
        <v>140.30000000000001</v>
      </c>
      <c r="DM18" s="1">
        <v>139.37</v>
      </c>
      <c r="DN18" s="1">
        <v>136.34</v>
      </c>
      <c r="DO18" s="1">
        <v>134.25</v>
      </c>
      <c r="DP18" s="1">
        <v>136.88</v>
      </c>
      <c r="DQ18" s="1">
        <v>138.26</v>
      </c>
      <c r="DR18" s="1">
        <v>138.11000000000001</v>
      </c>
      <c r="DS18" s="1">
        <v>137.34</v>
      </c>
      <c r="DT18" s="1">
        <v>137.21</v>
      </c>
      <c r="DU18" s="1">
        <v>141.11000000000001</v>
      </c>
      <c r="DV18" s="1">
        <v>141.29</v>
      </c>
      <c r="DW18" s="1">
        <v>144.4</v>
      </c>
      <c r="DX18" s="1">
        <v>145.21</v>
      </c>
      <c r="DY18" s="1">
        <v>144.99</v>
      </c>
      <c r="DZ18" s="1">
        <v>145.21</v>
      </c>
      <c r="EA18" s="1">
        <v>146</v>
      </c>
      <c r="EB18" s="1">
        <v>148.56</v>
      </c>
      <c r="EC18" s="1">
        <v>146.63</v>
      </c>
      <c r="ED18" s="1">
        <v>143.93</v>
      </c>
      <c r="EE18" s="1">
        <v>145.13999999999999</v>
      </c>
      <c r="EF18" s="1">
        <v>148.22</v>
      </c>
      <c r="EG18" s="1">
        <v>147.83000000000001</v>
      </c>
      <c r="EH18" s="1">
        <v>150.03</v>
      </c>
      <c r="EI18" s="1">
        <v>148.94999999999999</v>
      </c>
      <c r="EJ18" s="1">
        <v>143.77000000000001</v>
      </c>
      <c r="EK18" s="1">
        <v>147.12</v>
      </c>
      <c r="EL18" s="1">
        <v>147.63999999999999</v>
      </c>
      <c r="EM18" s="1">
        <v>149.83000000000001</v>
      </c>
      <c r="EN18" s="1">
        <v>151.4</v>
      </c>
      <c r="EO18" s="1">
        <v>151.12</v>
      </c>
      <c r="EP18" s="1">
        <v>152.74</v>
      </c>
      <c r="EQ18" s="1">
        <v>155.27000000000001</v>
      </c>
      <c r="ER18" s="1">
        <v>154.97999999999999</v>
      </c>
      <c r="ES18" s="1">
        <v>151.81</v>
      </c>
      <c r="ET18" s="1">
        <v>155.80000000000001</v>
      </c>
      <c r="EU18" s="1">
        <v>147.22999999999999</v>
      </c>
      <c r="EV18" s="1">
        <v>151.68</v>
      </c>
      <c r="EW18" s="1">
        <v>152.5</v>
      </c>
      <c r="EX18" s="1">
        <v>149.37</v>
      </c>
      <c r="EY18" s="1">
        <v>146.22999999999999</v>
      </c>
      <c r="EZ18" s="1">
        <v>143.28</v>
      </c>
      <c r="FA18" s="1">
        <v>142.88999999999999</v>
      </c>
      <c r="FB18" s="1">
        <v>141.94999999999999</v>
      </c>
      <c r="FC18" s="1">
        <v>139.55000000000001</v>
      </c>
      <c r="FD18" s="1">
        <v>139.72</v>
      </c>
      <c r="FE18" s="1">
        <v>140.97</v>
      </c>
      <c r="FF18" s="1">
        <v>137.78</v>
      </c>
      <c r="FG18" s="1">
        <v>135.93</v>
      </c>
      <c r="FH18" s="1">
        <v>131.13999999999999</v>
      </c>
      <c r="FI18" s="1">
        <v>129.11000000000001</v>
      </c>
      <c r="FJ18" s="1">
        <v>124.14</v>
      </c>
      <c r="FK18" s="1">
        <v>124.91</v>
      </c>
      <c r="FL18" s="1">
        <v>121.26</v>
      </c>
      <c r="FM18" s="1">
        <v>124.07</v>
      </c>
      <c r="FN18" s="1">
        <v>121.76</v>
      </c>
      <c r="FO18" s="1">
        <v>122.6</v>
      </c>
      <c r="FP18" s="1">
        <v>121.1</v>
      </c>
      <c r="FQ18" s="1">
        <v>120.67</v>
      </c>
      <c r="FR18" s="1">
        <v>124.35</v>
      </c>
      <c r="FS18" s="1">
        <v>121.36</v>
      </c>
      <c r="FT18" s="1">
        <v>118.3</v>
      </c>
      <c r="FU18" s="1">
        <v>121.6</v>
      </c>
      <c r="FV18" s="1">
        <v>122.74</v>
      </c>
      <c r="FW18" s="1">
        <v>123.18</v>
      </c>
      <c r="FX18" s="1">
        <v>124.91</v>
      </c>
      <c r="FY18" s="1">
        <v>124.7</v>
      </c>
      <c r="FZ18" s="1">
        <v>125.67</v>
      </c>
      <c r="GA18" s="1">
        <v>125.19</v>
      </c>
      <c r="GB18" s="1">
        <v>124.16</v>
      </c>
      <c r="GC18" s="1">
        <v>124.29</v>
      </c>
      <c r="GD18" s="1">
        <v>121.47</v>
      </c>
      <c r="GE18" s="1">
        <v>121.36</v>
      </c>
      <c r="GF18" s="1">
        <v>118.78</v>
      </c>
      <c r="GG18" s="1">
        <v>119.78</v>
      </c>
      <c r="GH18" s="1">
        <v>120.4</v>
      </c>
      <c r="GI18" s="1">
        <v>123.21</v>
      </c>
      <c r="GJ18" s="1">
        <v>121.34</v>
      </c>
      <c r="GK18" s="1">
        <v>119.36</v>
      </c>
      <c r="GL18" s="1">
        <v>121.19</v>
      </c>
      <c r="GM18" s="1">
        <v>121.22</v>
      </c>
      <c r="GN18" s="1">
        <v>122.62</v>
      </c>
      <c r="GO18" s="1">
        <v>125</v>
      </c>
      <c r="GP18" s="1">
        <v>123.91</v>
      </c>
      <c r="GQ18" s="1">
        <v>124.33</v>
      </c>
      <c r="GR18" s="1">
        <v>125.84</v>
      </c>
      <c r="GS18" s="1">
        <v>127.51</v>
      </c>
      <c r="GT18" s="1">
        <v>127.12</v>
      </c>
      <c r="GU18" s="1">
        <v>125.27</v>
      </c>
      <c r="GV18" s="1">
        <v>126.64</v>
      </c>
      <c r="GW18" s="1">
        <v>124.99</v>
      </c>
      <c r="GX18" s="1">
        <v>128.07</v>
      </c>
      <c r="GY18" s="1">
        <v>127.18</v>
      </c>
      <c r="GZ18" s="1">
        <v>124.09</v>
      </c>
      <c r="HA18" s="1">
        <v>125.02</v>
      </c>
      <c r="HB18" s="1">
        <v>125.2</v>
      </c>
      <c r="HC18" s="1">
        <v>123.4</v>
      </c>
      <c r="HD18" s="1">
        <v>122.56</v>
      </c>
      <c r="HE18" s="1">
        <v>118.15</v>
      </c>
      <c r="HF18" s="1">
        <v>118.84</v>
      </c>
      <c r="HG18" s="1">
        <v>123.4</v>
      </c>
      <c r="HH18" s="1">
        <v>122.58</v>
      </c>
      <c r="HI18" s="1">
        <v>123</v>
      </c>
      <c r="HJ18" s="1">
        <v>122.05</v>
      </c>
      <c r="HK18" s="1">
        <v>119.79</v>
      </c>
      <c r="HL18" s="1">
        <v>118.44</v>
      </c>
      <c r="HM18" s="1">
        <v>118.5</v>
      </c>
      <c r="HN18" s="1">
        <v>117.88</v>
      </c>
      <c r="HO18" s="1">
        <v>120.47</v>
      </c>
      <c r="HP18" s="1">
        <v>120.94</v>
      </c>
      <c r="HQ18" s="1">
        <v>120.74</v>
      </c>
      <c r="HR18" s="1">
        <v>121.46</v>
      </c>
      <c r="HS18" s="1">
        <v>124.08</v>
      </c>
      <c r="HT18" s="1">
        <v>123.11</v>
      </c>
      <c r="HU18" s="1">
        <v>122.81</v>
      </c>
      <c r="HV18" s="1">
        <v>117.85</v>
      </c>
      <c r="HW18" s="1">
        <v>118.3</v>
      </c>
      <c r="HX18" s="1">
        <v>118.48</v>
      </c>
      <c r="HY18" s="1">
        <v>118.21</v>
      </c>
      <c r="HZ18" s="1">
        <v>117.18</v>
      </c>
      <c r="IA18" s="1">
        <v>116.74</v>
      </c>
      <c r="IB18" s="1">
        <v>118.25</v>
      </c>
      <c r="IC18" s="1">
        <v>116.78</v>
      </c>
      <c r="ID18" s="1">
        <v>113.58</v>
      </c>
      <c r="IE18" s="1">
        <v>112.69</v>
      </c>
      <c r="IF18" s="1">
        <v>110.56</v>
      </c>
      <c r="IG18" s="1">
        <v>111.15</v>
      </c>
      <c r="IH18" s="1">
        <v>111</v>
      </c>
      <c r="II18" s="1">
        <v>112.62</v>
      </c>
      <c r="IJ18" s="1">
        <v>112.1</v>
      </c>
      <c r="IK18" s="1">
        <v>110.99</v>
      </c>
      <c r="IL18" s="1">
        <v>113.67</v>
      </c>
      <c r="IM18" s="1">
        <v>114.4</v>
      </c>
      <c r="IN18" s="1">
        <v>112.49</v>
      </c>
      <c r="IO18" s="1">
        <v>114.09</v>
      </c>
      <c r="IP18" s="1">
        <v>113.62</v>
      </c>
      <c r="IQ18" s="1">
        <v>112.26</v>
      </c>
      <c r="IR18" s="1">
        <v>110.86</v>
      </c>
      <c r="IS18" s="1">
        <v>112.54</v>
      </c>
      <c r="IT18" s="1">
        <v>114.55</v>
      </c>
      <c r="IU18" s="1">
        <v>117.86</v>
      </c>
      <c r="IV18" s="1">
        <v>115.25</v>
      </c>
      <c r="IW18" s="1">
        <v>115.76</v>
      </c>
      <c r="IX18" s="1">
        <v>115.88</v>
      </c>
      <c r="IY18" s="1">
        <v>115.05</v>
      </c>
      <c r="IZ18" s="1">
        <v>112.77</v>
      </c>
      <c r="JA18" s="1">
        <v>112.99</v>
      </c>
      <c r="JB18" s="1">
        <v>112.71</v>
      </c>
      <c r="JC18" s="1">
        <v>112.97</v>
      </c>
      <c r="JD18" s="1">
        <v>112.56</v>
      </c>
      <c r="JE18" s="1">
        <v>113.92</v>
      </c>
      <c r="JF18" s="1">
        <v>114.75</v>
      </c>
      <c r="JG18" s="1">
        <v>114.15</v>
      </c>
      <c r="JH18" s="1">
        <v>114.77</v>
      </c>
      <c r="JI18" s="1">
        <v>116.14</v>
      </c>
      <c r="JJ18" s="1">
        <v>118.73</v>
      </c>
      <c r="JK18" s="1">
        <v>117.98</v>
      </c>
      <c r="JL18" s="1">
        <v>117.99</v>
      </c>
      <c r="JM18" s="1">
        <v>118.37</v>
      </c>
      <c r="JN18" s="1">
        <v>119.02</v>
      </c>
      <c r="JO18" s="1">
        <v>120.14</v>
      </c>
      <c r="JP18" s="1">
        <v>120.02</v>
      </c>
      <c r="JQ18" s="1">
        <v>120.47</v>
      </c>
      <c r="JR18" s="1">
        <v>119.41</v>
      </c>
      <c r="JS18" s="1">
        <v>110.28</v>
      </c>
      <c r="JT18" s="1">
        <v>110.28</v>
      </c>
      <c r="JU18" s="1">
        <v>112.46</v>
      </c>
      <c r="JV18" s="1">
        <v>114.51</v>
      </c>
      <c r="JW18" s="1">
        <v>113.18</v>
      </c>
      <c r="JX18" s="1">
        <v>112.29</v>
      </c>
      <c r="JY18" s="1">
        <v>114.76</v>
      </c>
      <c r="JZ18" s="1">
        <v>114.23</v>
      </c>
      <c r="KA18" s="1">
        <v>113.03</v>
      </c>
      <c r="KB18" s="1">
        <v>116.2</v>
      </c>
      <c r="KC18" s="1">
        <v>113.2</v>
      </c>
      <c r="KD18" s="1">
        <v>113.56</v>
      </c>
      <c r="KE18" s="1">
        <v>110.17</v>
      </c>
      <c r="KF18" s="1">
        <v>108.28</v>
      </c>
      <c r="KG18" s="1">
        <v>108.22</v>
      </c>
      <c r="KH18" s="1">
        <v>108.8</v>
      </c>
      <c r="KI18" s="1">
        <v>109.85</v>
      </c>
      <c r="KJ18" s="1">
        <v>109.06</v>
      </c>
      <c r="KK18" s="1">
        <v>112.09</v>
      </c>
      <c r="KL18" s="1">
        <v>109.64</v>
      </c>
      <c r="KM18" s="1">
        <v>114.54</v>
      </c>
      <c r="KN18" s="1">
        <v>113.24</v>
      </c>
      <c r="KO18" s="1">
        <v>111.06</v>
      </c>
      <c r="KP18" s="1">
        <v>111.78</v>
      </c>
      <c r="KQ18" s="1">
        <v>111.75</v>
      </c>
      <c r="KR18" s="1">
        <v>111.51</v>
      </c>
      <c r="KS18" s="1">
        <v>111.73</v>
      </c>
      <c r="KT18" s="1">
        <v>110.87</v>
      </c>
    </row>
    <row r="19" spans="1:306" x14ac:dyDescent="0.25">
      <c r="A19" t="s">
        <v>330</v>
      </c>
      <c r="B19">
        <v>-1</v>
      </c>
      <c r="C19">
        <v>5</v>
      </c>
      <c r="D19" s="1">
        <f>+D18+1</f>
        <v>12</v>
      </c>
      <c r="E19" s="13" t="s">
        <v>29</v>
      </c>
      <c r="F19" s="1" t="s">
        <v>30</v>
      </c>
      <c r="G19" s="7">
        <v>65.400000000000006</v>
      </c>
      <c r="H19" s="6">
        <f>+G19*L19</f>
        <v>133551.45955380003</v>
      </c>
      <c r="I19" s="6">
        <f>+[12]Main!$K$5-[12]Main!$K$6</f>
        <v>-33608</v>
      </c>
      <c r="J19" s="6">
        <f t="shared" si="1"/>
        <v>167159.45955380003</v>
      </c>
      <c r="K19" s="3" t="s">
        <v>2007</v>
      </c>
      <c r="L19" s="6">
        <f>+[12]Main!$K$3</f>
        <v>2042.0712470000001</v>
      </c>
      <c r="M19" s="9">
        <v>46217</v>
      </c>
      <c r="S19" s="11">
        <f t="shared" si="35"/>
        <v>20.162019684064369</v>
      </c>
      <c r="T19" s="11">
        <f t="shared" si="35"/>
        <v>17.951271911688892</v>
      </c>
      <c r="U19" s="11">
        <f t="shared" si="35"/>
        <v>12.612912159830714</v>
      </c>
      <c r="V19" s="11">
        <f t="shared" si="35"/>
        <v>12.383933421679476</v>
      </c>
      <c r="W19" s="114">
        <f>($J19/$L19)/AF19</f>
        <v>11.829161837760308</v>
      </c>
      <c r="X19" s="119">
        <f t="shared" ref="X19" si="46">($J19/$L19)/AG19</f>
        <v>12.421517438133739</v>
      </c>
      <c r="Y19" s="11">
        <f t="shared" ref="Y19" si="47">($J19/$L19)/AH19</f>
        <v>14.437001749083128</v>
      </c>
      <c r="Z19" s="11">
        <f t="shared" ref="Z19" si="48">($J19/$L19)/AI19</f>
        <v>16.082082498487491</v>
      </c>
      <c r="AA19" s="11">
        <f t="shared" ref="AA19" si="49">($J19/$L19)/AJ19</f>
        <v>16.082082498487491</v>
      </c>
      <c r="AB19" s="125">
        <v>4.0599999999999996</v>
      </c>
      <c r="AC19" s="61">
        <v>4.5599999999999996</v>
      </c>
      <c r="AD19" s="61">
        <v>6.49</v>
      </c>
      <c r="AE19" s="61">
        <v>6.61</v>
      </c>
      <c r="AF19" s="61">
        <v>6.92</v>
      </c>
      <c r="AG19" s="4">
        <v>6.59</v>
      </c>
      <c r="AH19" s="4">
        <v>5.67</v>
      </c>
      <c r="AI19" s="4">
        <v>5.09</v>
      </c>
      <c r="AJ19" s="4">
        <v>5.09</v>
      </c>
      <c r="AK19" s="4">
        <v>5.28</v>
      </c>
      <c r="AL19" s="1">
        <v>1887</v>
      </c>
      <c r="AM19" t="s">
        <v>2219</v>
      </c>
      <c r="AN19" s="1" t="s">
        <v>2042</v>
      </c>
      <c r="AO19" s="10">
        <f>BD19/FV19-1</f>
        <v>6.6370040786058793E-2</v>
      </c>
      <c r="AP19" s="10">
        <f>BD19/BX19-1</f>
        <v>5.9461350122420598E-3</v>
      </c>
      <c r="AQ19" s="10">
        <f>BD19/CA19-1</f>
        <v>-8.7885576425986711E-3</v>
      </c>
      <c r="AR19" s="122">
        <f>BD19/KT19-1</f>
        <v>0.2426009937351481</v>
      </c>
      <c r="BD19" s="37">
        <v>57.52</v>
      </c>
      <c r="BE19" s="37">
        <v>55.39</v>
      </c>
      <c r="BF19" s="37">
        <v>55</v>
      </c>
      <c r="BG19" s="37">
        <v>55.53</v>
      </c>
      <c r="BH19" s="37">
        <v>54.7</v>
      </c>
      <c r="BI19" s="37"/>
      <c r="BJ19" s="37">
        <v>54</v>
      </c>
      <c r="BK19" s="37">
        <v>55.28</v>
      </c>
      <c r="BL19" s="37">
        <v>55.92</v>
      </c>
      <c r="BM19" s="37">
        <v>56.24</v>
      </c>
      <c r="BN19" s="37">
        <v>57.13</v>
      </c>
      <c r="BO19" s="37">
        <v>56.9</v>
      </c>
      <c r="BP19" s="37">
        <v>55.6</v>
      </c>
      <c r="BQ19" s="37">
        <v>56.48</v>
      </c>
      <c r="BR19" s="37">
        <v>55.57</v>
      </c>
      <c r="BS19" s="37">
        <v>57.27</v>
      </c>
      <c r="BT19" s="37">
        <v>56.6</v>
      </c>
      <c r="BU19" s="37">
        <v>54.72</v>
      </c>
      <c r="BV19" s="37">
        <v>54.46</v>
      </c>
      <c r="BW19" s="37">
        <v>54.95</v>
      </c>
      <c r="BX19" s="37">
        <v>57.18</v>
      </c>
      <c r="BY19" s="37">
        <v>56.91</v>
      </c>
      <c r="BZ19" s="37">
        <v>57.52</v>
      </c>
      <c r="CA19" s="37">
        <v>58.03</v>
      </c>
      <c r="CB19" s="37">
        <v>59.46</v>
      </c>
      <c r="CC19" s="37">
        <v>59.55</v>
      </c>
      <c r="CD19" s="37">
        <v>58.54</v>
      </c>
      <c r="CE19" s="37">
        <v>58.31</v>
      </c>
      <c r="CF19" s="37">
        <v>57.31</v>
      </c>
      <c r="CG19" s="37">
        <v>57</v>
      </c>
      <c r="CH19" s="37">
        <v>56.77</v>
      </c>
      <c r="CI19" s="37">
        <v>56.39</v>
      </c>
      <c r="CJ19" s="37">
        <v>56.45</v>
      </c>
      <c r="CK19" s="37">
        <v>55.67</v>
      </c>
      <c r="CL19" s="37">
        <v>56.16</v>
      </c>
      <c r="CM19" s="37">
        <v>56.25</v>
      </c>
      <c r="CN19" s="37">
        <v>56.59</v>
      </c>
      <c r="CO19" s="37">
        <v>56.95</v>
      </c>
      <c r="CP19" s="37">
        <v>57.38</v>
      </c>
      <c r="CQ19" s="37">
        <v>58.22</v>
      </c>
      <c r="CR19" s="37">
        <v>60.59</v>
      </c>
      <c r="CS19" s="37">
        <v>57.59</v>
      </c>
      <c r="CT19" s="37">
        <v>58.26</v>
      </c>
      <c r="CU19" s="37">
        <v>57.78</v>
      </c>
      <c r="CV19" s="37">
        <v>58.71</v>
      </c>
      <c r="CW19" s="37">
        <v>59.02</v>
      </c>
      <c r="CX19" s="37">
        <v>58.8</v>
      </c>
      <c r="CY19" s="37">
        <v>59.39</v>
      </c>
      <c r="CZ19" s="37">
        <v>59.13</v>
      </c>
      <c r="DA19" s="37">
        <v>60.17</v>
      </c>
      <c r="DB19" s="37">
        <v>58.96</v>
      </c>
      <c r="DC19" s="37">
        <v>57.89</v>
      </c>
      <c r="DD19" s="37">
        <v>58.08</v>
      </c>
      <c r="DE19" s="37">
        <v>58.06</v>
      </c>
      <c r="DF19" s="37">
        <v>58.62</v>
      </c>
      <c r="DG19" s="37">
        <v>59.47</v>
      </c>
      <c r="DH19" s="37">
        <v>59.2</v>
      </c>
      <c r="DI19" s="37">
        <v>57.67</v>
      </c>
      <c r="DJ19" s="37">
        <v>59.33</v>
      </c>
      <c r="DK19" s="37">
        <v>59.6</v>
      </c>
      <c r="DL19" s="37">
        <v>61.73</v>
      </c>
      <c r="DM19" s="37">
        <v>60.65</v>
      </c>
      <c r="DN19" s="37">
        <v>59.73</v>
      </c>
      <c r="DO19" s="37">
        <v>58.54</v>
      </c>
      <c r="DP19" s="37">
        <v>59.43</v>
      </c>
      <c r="DQ19" s="37">
        <v>58.94</v>
      </c>
      <c r="DR19" s="37">
        <v>57.39</v>
      </c>
      <c r="DS19" s="37">
        <v>57</v>
      </c>
      <c r="DT19" s="37">
        <v>57.48</v>
      </c>
      <c r="DU19" s="37">
        <v>58.11</v>
      </c>
      <c r="DV19" s="37">
        <v>59.37</v>
      </c>
      <c r="DW19" s="37">
        <v>59.71</v>
      </c>
      <c r="DX19" s="37">
        <v>59.71</v>
      </c>
      <c r="DY19" s="37">
        <v>59.08</v>
      </c>
      <c r="DZ19" s="37">
        <v>58.95</v>
      </c>
      <c r="EA19" s="37">
        <v>59.98</v>
      </c>
      <c r="EB19" s="37">
        <v>60.13</v>
      </c>
      <c r="EC19" s="37">
        <v>60.63</v>
      </c>
      <c r="ED19" s="37">
        <v>60.29</v>
      </c>
      <c r="EE19" s="37">
        <v>60.74</v>
      </c>
      <c r="EF19" s="37">
        <v>62.33</v>
      </c>
      <c r="EG19" s="37">
        <v>61.22</v>
      </c>
      <c r="EH19" s="37">
        <v>62.34</v>
      </c>
      <c r="EI19" s="37">
        <v>62.37</v>
      </c>
      <c r="EJ19" s="37">
        <v>61.1</v>
      </c>
      <c r="EK19" s="37">
        <v>61.3</v>
      </c>
      <c r="EL19" s="37">
        <v>61.6</v>
      </c>
      <c r="EM19" s="37">
        <v>61.25</v>
      </c>
      <c r="EN19" s="37">
        <v>60.66</v>
      </c>
      <c r="EO19" s="37">
        <v>60.3</v>
      </c>
      <c r="EP19" s="37">
        <v>59.73</v>
      </c>
      <c r="EQ19" s="37">
        <v>60.35</v>
      </c>
      <c r="ER19" s="37">
        <v>60.74</v>
      </c>
      <c r="ES19" s="37">
        <v>59.86</v>
      </c>
      <c r="ET19" s="37">
        <v>59.93</v>
      </c>
      <c r="EU19" s="37">
        <v>60.86</v>
      </c>
      <c r="EV19" s="37">
        <v>60.77</v>
      </c>
      <c r="EW19" s="37">
        <v>61.99</v>
      </c>
      <c r="EX19" s="37">
        <v>59.52</v>
      </c>
      <c r="EY19" s="37">
        <v>57.62</v>
      </c>
      <c r="EZ19" s="37">
        <v>55.99</v>
      </c>
      <c r="FA19" s="37">
        <v>55.89</v>
      </c>
      <c r="FB19" s="37">
        <v>55.05</v>
      </c>
      <c r="FC19" s="37">
        <v>54.28</v>
      </c>
      <c r="FD19" s="37">
        <v>54.62</v>
      </c>
      <c r="FE19" s="37">
        <v>55.56</v>
      </c>
      <c r="FF19" s="37">
        <v>54.6</v>
      </c>
      <c r="FG19" s="37">
        <v>54.65</v>
      </c>
      <c r="FH19" s="37">
        <v>54.94</v>
      </c>
      <c r="FI19" s="37">
        <v>54.5</v>
      </c>
      <c r="FJ19" s="37">
        <v>54.22</v>
      </c>
      <c r="FK19" s="37">
        <v>55.26</v>
      </c>
      <c r="FL19" s="37">
        <v>56.62</v>
      </c>
      <c r="FM19" s="37">
        <v>57.02</v>
      </c>
      <c r="FN19" s="37">
        <v>55.92</v>
      </c>
      <c r="FO19" s="37">
        <v>55.77</v>
      </c>
      <c r="FP19" s="37">
        <v>55.86</v>
      </c>
      <c r="FQ19" s="37">
        <v>55.9</v>
      </c>
      <c r="FR19" s="37">
        <v>56.72</v>
      </c>
      <c r="FS19" s="37">
        <v>54.42</v>
      </c>
      <c r="FT19" s="37">
        <v>53.06</v>
      </c>
      <c r="FU19" s="37">
        <v>53.46</v>
      </c>
      <c r="FV19" s="37">
        <v>53.94</v>
      </c>
      <c r="FW19" s="37">
        <v>54.21</v>
      </c>
      <c r="FX19" s="37">
        <v>54.11</v>
      </c>
      <c r="FY19" s="37">
        <v>54.64</v>
      </c>
      <c r="FZ19" s="37">
        <v>54.71</v>
      </c>
      <c r="GA19" s="37">
        <v>54.28</v>
      </c>
      <c r="GB19" s="37">
        <v>54.66</v>
      </c>
      <c r="GC19" s="37">
        <v>54.19</v>
      </c>
      <c r="GD19" s="37">
        <v>53.33</v>
      </c>
      <c r="GE19" s="37">
        <v>53.55</v>
      </c>
      <c r="GF19" s="37">
        <v>54.23</v>
      </c>
      <c r="GG19" s="37">
        <v>54.29</v>
      </c>
      <c r="GH19" s="37">
        <v>52.41</v>
      </c>
      <c r="GI19" s="37">
        <v>51.2</v>
      </c>
      <c r="GJ19" s="37">
        <v>51.21</v>
      </c>
      <c r="GK19" s="37">
        <v>50.65</v>
      </c>
      <c r="GL19" s="37">
        <v>51.67</v>
      </c>
      <c r="GM19" s="37">
        <v>52.15</v>
      </c>
      <c r="GN19" s="37">
        <v>51.95</v>
      </c>
      <c r="GO19" s="37">
        <v>50.96</v>
      </c>
      <c r="GP19" s="37">
        <v>48.25</v>
      </c>
      <c r="GQ19" s="37">
        <v>49.18</v>
      </c>
      <c r="GR19" s="37">
        <v>49.2</v>
      </c>
      <c r="GS19" s="37">
        <v>49.25</v>
      </c>
      <c r="GT19" s="37">
        <v>49.05</v>
      </c>
      <c r="GU19" s="37">
        <v>47.76</v>
      </c>
      <c r="GV19" s="37">
        <v>46.25</v>
      </c>
      <c r="GW19" s="37">
        <v>45.94</v>
      </c>
      <c r="GX19" s="37">
        <v>45.79</v>
      </c>
      <c r="GY19" s="37">
        <v>47.06</v>
      </c>
      <c r="GZ19" s="37">
        <v>46.81</v>
      </c>
      <c r="HA19" s="37">
        <v>46.65</v>
      </c>
      <c r="HB19" s="37">
        <v>48.63</v>
      </c>
      <c r="HC19" s="37">
        <v>49.08</v>
      </c>
      <c r="HD19" s="37">
        <v>48.72</v>
      </c>
      <c r="HE19" s="37">
        <v>47.26</v>
      </c>
      <c r="HF19" s="37">
        <v>46.69</v>
      </c>
      <c r="HG19" s="37">
        <v>46.63</v>
      </c>
      <c r="HH19" s="37">
        <v>46.47</v>
      </c>
      <c r="HI19" s="37">
        <v>45.59</v>
      </c>
      <c r="HJ19" s="37">
        <v>46.02</v>
      </c>
      <c r="HK19" s="37">
        <v>46.07</v>
      </c>
      <c r="HL19" s="37">
        <v>45.62</v>
      </c>
      <c r="HM19" s="37">
        <v>42.6</v>
      </c>
      <c r="HN19" s="37">
        <v>42.82</v>
      </c>
      <c r="HO19" s="37">
        <v>43.39</v>
      </c>
      <c r="HP19" s="37">
        <v>43.83</v>
      </c>
      <c r="HQ19" s="37">
        <v>43.83</v>
      </c>
      <c r="HR19" s="37">
        <v>44.39</v>
      </c>
      <c r="HS19" s="37">
        <v>44.54</v>
      </c>
      <c r="HT19" s="37">
        <v>43.59</v>
      </c>
      <c r="HU19" s="37">
        <v>43.63</v>
      </c>
      <c r="HV19" s="37">
        <v>43.39</v>
      </c>
      <c r="HW19" s="37">
        <v>43.61</v>
      </c>
      <c r="HX19" s="37">
        <v>43.8</v>
      </c>
      <c r="HY19" s="37">
        <v>43.54</v>
      </c>
      <c r="HZ19" s="37">
        <v>43.96</v>
      </c>
      <c r="IA19" s="37">
        <v>44.68</v>
      </c>
      <c r="IB19" s="37">
        <v>44.54</v>
      </c>
      <c r="IC19" s="37">
        <v>44.66</v>
      </c>
      <c r="ID19" s="37">
        <v>45.14</v>
      </c>
      <c r="IE19" s="37">
        <v>45.45</v>
      </c>
      <c r="IF19" s="37">
        <v>45.73</v>
      </c>
      <c r="IG19" s="37">
        <v>47.43</v>
      </c>
      <c r="IH19" s="37">
        <v>45.1</v>
      </c>
      <c r="II19" s="37">
        <v>44.15</v>
      </c>
      <c r="IJ19" s="37">
        <v>44.12</v>
      </c>
      <c r="IK19" s="37">
        <v>43.41</v>
      </c>
      <c r="IL19" s="37">
        <v>44.16</v>
      </c>
      <c r="IM19" s="37">
        <v>44.91</v>
      </c>
      <c r="IN19" s="37">
        <v>44.98</v>
      </c>
      <c r="IO19" s="37">
        <v>45.02</v>
      </c>
      <c r="IP19" s="37">
        <v>45.6</v>
      </c>
      <c r="IQ19" s="37">
        <v>46.15</v>
      </c>
      <c r="IR19" s="37">
        <v>46.34</v>
      </c>
      <c r="IS19" s="37">
        <v>46.35</v>
      </c>
      <c r="IT19" s="37">
        <v>46.2</v>
      </c>
      <c r="IU19" s="37">
        <v>47.54</v>
      </c>
      <c r="IV19" s="37">
        <v>47.15</v>
      </c>
      <c r="IW19" s="37">
        <v>47.23</v>
      </c>
      <c r="IX19" s="37">
        <v>46.72</v>
      </c>
      <c r="IY19" s="37">
        <v>47.14</v>
      </c>
      <c r="IZ19" s="37">
        <v>46.69</v>
      </c>
      <c r="JA19" s="37">
        <v>47.5</v>
      </c>
      <c r="JB19" s="37">
        <v>47.41</v>
      </c>
      <c r="JC19" s="37">
        <v>47.18</v>
      </c>
      <c r="JD19" s="37">
        <v>46.88</v>
      </c>
      <c r="JE19" s="37">
        <v>47.63</v>
      </c>
      <c r="JF19" s="37">
        <v>47.21</v>
      </c>
      <c r="JG19" s="37">
        <v>47.14</v>
      </c>
      <c r="JH19" s="37">
        <v>47.92</v>
      </c>
      <c r="JI19" s="37">
        <v>48.43</v>
      </c>
      <c r="JJ19" s="37">
        <v>48.26</v>
      </c>
      <c r="JK19" s="37">
        <v>48.34</v>
      </c>
      <c r="JL19" s="37">
        <v>48.19</v>
      </c>
      <c r="JM19" s="37">
        <v>48.44</v>
      </c>
      <c r="JN19" s="37">
        <v>47.81</v>
      </c>
      <c r="JO19" s="37">
        <v>47.85</v>
      </c>
      <c r="JP19" s="37">
        <v>46.55</v>
      </c>
      <c r="JQ19" s="37">
        <v>45.93</v>
      </c>
      <c r="JR19" s="37">
        <v>45.95</v>
      </c>
      <c r="JS19" s="37">
        <v>45.36</v>
      </c>
      <c r="JT19" s="37">
        <v>44.82</v>
      </c>
      <c r="JU19" s="37">
        <v>45.85</v>
      </c>
      <c r="JV19" s="37">
        <v>45.4</v>
      </c>
      <c r="JW19" s="37">
        <v>44.23</v>
      </c>
      <c r="JX19" s="37">
        <v>43.31</v>
      </c>
      <c r="JY19" s="37">
        <v>45.98</v>
      </c>
      <c r="JZ19" s="37">
        <v>46.86</v>
      </c>
      <c r="KA19" s="37">
        <v>47.51</v>
      </c>
      <c r="KB19" s="37">
        <v>48.43</v>
      </c>
      <c r="KC19" s="37">
        <v>48.94</v>
      </c>
      <c r="KD19" s="37">
        <v>48.98</v>
      </c>
      <c r="KE19" s="37">
        <v>48.02</v>
      </c>
      <c r="KF19" s="37">
        <v>46.69</v>
      </c>
      <c r="KG19" s="37">
        <v>47.36</v>
      </c>
      <c r="KH19" s="37">
        <v>48.06</v>
      </c>
      <c r="KI19" s="37">
        <v>47.17</v>
      </c>
      <c r="KJ19" s="37">
        <v>46.43</v>
      </c>
      <c r="KK19" s="37">
        <v>47.34</v>
      </c>
      <c r="KL19" s="37">
        <v>46.86</v>
      </c>
      <c r="KM19" s="37">
        <v>48.52</v>
      </c>
      <c r="KN19" s="37">
        <v>47.66</v>
      </c>
      <c r="KO19" s="37">
        <v>47.04</v>
      </c>
      <c r="KP19" s="37">
        <v>46.49</v>
      </c>
      <c r="KQ19" s="37">
        <v>46.92</v>
      </c>
      <c r="KR19" s="37">
        <v>47.63</v>
      </c>
      <c r="KS19" s="37">
        <v>47.51</v>
      </c>
      <c r="KT19" s="37">
        <v>46.29</v>
      </c>
    </row>
    <row r="20" spans="1:306" x14ac:dyDescent="0.25">
      <c r="A20" t="s">
        <v>330</v>
      </c>
      <c r="B20"/>
      <c r="C20"/>
      <c r="D20" s="1">
        <f>+D19+1</f>
        <v>13</v>
      </c>
      <c r="E20" s="13" t="s">
        <v>37</v>
      </c>
      <c r="F20" s="1" t="s">
        <v>38</v>
      </c>
      <c r="G20" s="7">
        <v>51.81</v>
      </c>
      <c r="H20" s="6">
        <f>+G20*L20/2</f>
        <v>104215.815</v>
      </c>
      <c r="I20" s="6">
        <f>([13]Main!$J$6-[13]Main!$J$7)*GBP</f>
        <v>-20805.8838</v>
      </c>
      <c r="J20" s="6">
        <f t="shared" si="1"/>
        <v>125021.6988</v>
      </c>
      <c r="K20" s="3" t="s">
        <v>2007</v>
      </c>
      <c r="L20" s="6">
        <f>+[13]Main!$J$4</f>
        <v>4023</v>
      </c>
      <c r="M20" s="9">
        <v>46227</v>
      </c>
      <c r="S20" s="11">
        <f t="shared" si="35"/>
        <v>10.024752736282505</v>
      </c>
      <c r="T20" s="11">
        <f t="shared" si="35"/>
        <v>8.9817148793282549</v>
      </c>
      <c r="U20" s="11">
        <f t="shared" si="35"/>
        <v>8.8286174666124335</v>
      </c>
      <c r="V20" s="11">
        <f t="shared" si="35"/>
        <v>7.6543678528265433</v>
      </c>
      <c r="W20" s="114" t="s">
        <v>1677</v>
      </c>
      <c r="X20" s="119" t="s">
        <v>1677</v>
      </c>
      <c r="Y20" s="11" t="s">
        <v>1677</v>
      </c>
      <c r="Z20" s="11" t="s">
        <v>1677</v>
      </c>
      <c r="AA20" s="11" t="s">
        <v>1677</v>
      </c>
      <c r="AB20" s="125">
        <v>3.1</v>
      </c>
      <c r="AC20" s="61">
        <v>3.46</v>
      </c>
      <c r="AD20" s="61">
        <v>3.52</v>
      </c>
      <c r="AE20" s="61">
        <v>4.0599999999999996</v>
      </c>
      <c r="AF20" s="61">
        <v>4.79</v>
      </c>
      <c r="AG20" s="4">
        <v>5.17</v>
      </c>
      <c r="AH20" s="4">
        <v>5.44</v>
      </c>
      <c r="AI20" s="61">
        <v>5.8</v>
      </c>
      <c r="AJ20" s="4">
        <v>5.86</v>
      </c>
      <c r="AK20" s="4">
        <v>6.17</v>
      </c>
      <c r="AM20" t="s">
        <v>2222</v>
      </c>
      <c r="AN20" t="s">
        <v>2048</v>
      </c>
    </row>
    <row r="21" spans="1:306" x14ac:dyDescent="0.25">
      <c r="A21" t="s">
        <v>330</v>
      </c>
      <c r="B21"/>
      <c r="C21"/>
      <c r="D21" s="1">
        <f>+D20</f>
        <v>13</v>
      </c>
      <c r="E21" s="13" t="s">
        <v>37</v>
      </c>
      <c r="F21" s="1" t="s">
        <v>39</v>
      </c>
      <c r="G21" s="15">
        <v>1931.5</v>
      </c>
      <c r="H21" s="6">
        <f>+G21*L21/100*GBP</f>
        <v>103548.67688699999</v>
      </c>
      <c r="I21" s="6">
        <f>([13]Main!$J$6-[13]Main!$J$7)*GBP</f>
        <v>-20805.8838</v>
      </c>
      <c r="J21" s="6">
        <f t="shared" si="1"/>
        <v>124354.56068699999</v>
      </c>
      <c r="K21" s="3" t="s">
        <v>2007</v>
      </c>
      <c r="L21" s="6">
        <f>+L20</f>
        <v>4023</v>
      </c>
      <c r="M21" s="9">
        <v>46227</v>
      </c>
      <c r="N21" s="4" t="s">
        <v>1677</v>
      </c>
      <c r="O21" s="4" t="s">
        <v>1677</v>
      </c>
      <c r="P21" s="4" t="s">
        <v>1677</v>
      </c>
      <c r="Q21" s="4" t="s">
        <v>1677</v>
      </c>
      <c r="R21" s="4" t="s">
        <v>1677</v>
      </c>
      <c r="S21" s="11">
        <f t="shared" si="35"/>
        <v>0.24728721985980609</v>
      </c>
      <c r="T21" s="11">
        <f t="shared" si="35"/>
        <v>0.22238059339910621</v>
      </c>
      <c r="U21" s="11">
        <f t="shared" si="35"/>
        <v>0.22399204697446204</v>
      </c>
      <c r="V21" s="11">
        <f t="shared" si="35"/>
        <v>0.20072014599010235</v>
      </c>
      <c r="W21" s="114">
        <f>($J21/$L21*100)/AF21</f>
        <v>17.365675551952677</v>
      </c>
      <c r="X21" s="119">
        <f>($J21/$L21*100)/AG21</f>
        <v>16.09942837628946</v>
      </c>
      <c r="Y21" s="11">
        <f>($J21/$L21*100)/AH21</f>
        <v>15.302426971522655</v>
      </c>
      <c r="Z21" s="11">
        <f>($J21/$L21*100)/AI21</f>
        <v>14.310603001146186</v>
      </c>
      <c r="AA21" s="129">
        <f>($J21/$L21*100)/AJ21</f>
        <v>14.179313065355855</v>
      </c>
      <c r="AB21" s="130">
        <v>125</v>
      </c>
      <c r="AC21" s="131">
        <v>139</v>
      </c>
      <c r="AD21" s="131">
        <v>138</v>
      </c>
      <c r="AE21" s="131">
        <v>154</v>
      </c>
      <c r="AF21" s="131">
        <v>178</v>
      </c>
      <c r="AG21" s="131">
        <v>192</v>
      </c>
      <c r="AH21" s="131">
        <v>202</v>
      </c>
      <c r="AI21" s="131">
        <v>216</v>
      </c>
      <c r="AJ21" s="131">
        <v>218</v>
      </c>
      <c r="AK21" s="131">
        <v>230</v>
      </c>
      <c r="AM21" t="s">
        <v>2222</v>
      </c>
      <c r="AN21" t="s">
        <v>2048</v>
      </c>
    </row>
    <row r="22" spans="1:306" x14ac:dyDescent="0.25">
      <c r="A22" t="s">
        <v>330</v>
      </c>
      <c r="B22"/>
      <c r="C22"/>
      <c r="D22">
        <f>+D21+1</f>
        <v>14</v>
      </c>
      <c r="E22" s="13" t="s">
        <v>33</v>
      </c>
      <c r="F22" t="s">
        <v>34</v>
      </c>
      <c r="G22" s="7">
        <v>43.08</v>
      </c>
      <c r="H22" s="6">
        <f>+G22*L22*2</f>
        <v>107786.15999999999</v>
      </c>
      <c r="I22" s="6">
        <f>([14]Main!$K$5-[14]Main!$K$6)*EUR</f>
        <v>-14319.000000000002</v>
      </c>
      <c r="J22" s="6">
        <f t="shared" si="1"/>
        <v>122105.15999999999</v>
      </c>
      <c r="K22" s="3" t="str">
        <f>+K23</f>
        <v>Q126</v>
      </c>
      <c r="L22" s="6">
        <f>+L23</f>
        <v>1251</v>
      </c>
      <c r="M22" s="9">
        <f>+M23</f>
        <v>46224</v>
      </c>
      <c r="N22" s="4" t="s">
        <v>1677</v>
      </c>
      <c r="O22" s="4" t="s">
        <v>1677</v>
      </c>
      <c r="P22" s="4" t="s">
        <v>1677</v>
      </c>
      <c r="Q22" s="4" t="s">
        <v>1677</v>
      </c>
      <c r="R22" s="4" t="s">
        <v>1677</v>
      </c>
      <c r="S22" s="4" t="s">
        <v>1677</v>
      </c>
      <c r="T22" s="4" t="s">
        <v>1677</v>
      </c>
      <c r="U22" s="4" t="s">
        <v>1677</v>
      </c>
      <c r="V22" s="4" t="s">
        <v>1677</v>
      </c>
      <c r="W22" s="114">
        <f>($J22/$L22)/AF22</f>
        <v>19.639042890436141</v>
      </c>
      <c r="X22" s="119">
        <f t="shared" ref="X22" si="50">($J22/$L22)/AG22</f>
        <v>18.556281970621221</v>
      </c>
      <c r="Y22" s="11">
        <f t="shared" ref="Y22" si="51">($J22/$L22)/AH22</f>
        <v>17.034213466922793</v>
      </c>
      <c r="Z22" s="11">
        <f t="shared" ref="Z22" si="52">($J22/$L22)/AI22</f>
        <v>16.027264887597308</v>
      </c>
      <c r="AA22" s="11">
        <f t="shared" ref="AA22" si="53">($J22/$L22)/AJ22</f>
        <v>15.016314333148863</v>
      </c>
      <c r="AB22" s="123">
        <v>3.73</v>
      </c>
      <c r="AC22" s="4">
        <v>2.83</v>
      </c>
      <c r="AD22" s="4">
        <v>2.77</v>
      </c>
      <c r="AE22" s="4">
        <v>3.28</v>
      </c>
      <c r="AF22" s="4">
        <v>4.97</v>
      </c>
      <c r="AG22" s="4">
        <v>5.26</v>
      </c>
      <c r="AH22" s="4">
        <v>5.73</v>
      </c>
      <c r="AI22" s="4">
        <v>6.09</v>
      </c>
      <c r="AJ22" s="61">
        <v>6.5</v>
      </c>
      <c r="AK22" s="4">
        <v>6.74</v>
      </c>
      <c r="AM22" t="s">
        <v>2226</v>
      </c>
      <c r="AN22" t="s">
        <v>2050</v>
      </c>
    </row>
    <row r="23" spans="1:306" x14ac:dyDescent="0.25">
      <c r="A23" t="s">
        <v>330</v>
      </c>
      <c r="B23"/>
      <c r="C23"/>
      <c r="D23" s="1">
        <f>+D22</f>
        <v>14</v>
      </c>
      <c r="E23" s="13" t="s">
        <v>33</v>
      </c>
      <c r="F23" s="1" t="s">
        <v>1108</v>
      </c>
      <c r="G23" s="14">
        <v>74.47</v>
      </c>
      <c r="H23" s="6">
        <f>+G23*L23*EUR</f>
        <v>103409.78670000001</v>
      </c>
      <c r="I23" s="6">
        <f>([14]Main!$K$5-[14]Main!$K$6)*EUR</f>
        <v>-14319.000000000002</v>
      </c>
      <c r="J23" s="6">
        <f t="shared" si="1"/>
        <v>117728.78670000001</v>
      </c>
      <c r="K23" s="3" t="s">
        <v>2007</v>
      </c>
      <c r="L23" s="6">
        <f>+[15]Main!$K$3</f>
        <v>1251</v>
      </c>
      <c r="M23" s="9">
        <v>46224</v>
      </c>
      <c r="S23" s="4" t="s">
        <v>1677</v>
      </c>
      <c r="T23" s="4" t="s">
        <v>1677</v>
      </c>
      <c r="U23" s="4" t="s">
        <v>1677</v>
      </c>
      <c r="V23" s="11">
        <f>($J23/$L23)/AE23</f>
        <v>20.547542175866297</v>
      </c>
      <c r="W23" s="114" t="s">
        <v>1677</v>
      </c>
      <c r="X23" s="4" t="s">
        <v>1677</v>
      </c>
      <c r="Y23" s="4" t="s">
        <v>1677</v>
      </c>
      <c r="Z23" s="4" t="s">
        <v>1677</v>
      </c>
      <c r="AA23" s="4" t="s">
        <v>1677</v>
      </c>
      <c r="AB23" s="125" t="s">
        <v>1677</v>
      </c>
      <c r="AC23" s="61" t="s">
        <v>1677</v>
      </c>
      <c r="AD23" s="61" t="s">
        <v>1677</v>
      </c>
      <c r="AE23" s="61">
        <v>4.58</v>
      </c>
      <c r="AF23" s="61">
        <v>5.03</v>
      </c>
      <c r="AG23" s="61" t="s">
        <v>1677</v>
      </c>
      <c r="AH23" s="61" t="s">
        <v>1677</v>
      </c>
      <c r="AI23" s="61" t="s">
        <v>1677</v>
      </c>
      <c r="AJ23" s="61" t="s">
        <v>1677</v>
      </c>
      <c r="AK23" s="61" t="s">
        <v>1677</v>
      </c>
      <c r="AM23" t="s">
        <v>2226</v>
      </c>
      <c r="AN23" t="s">
        <v>2050</v>
      </c>
    </row>
    <row r="24" spans="1:306" x14ac:dyDescent="0.25">
      <c r="A24" s="1" t="s">
        <v>330</v>
      </c>
      <c r="B24"/>
      <c r="C24"/>
      <c r="D24" s="1">
        <f>+D23+1</f>
        <v>15</v>
      </c>
      <c r="E24" s="13" t="s">
        <v>45</v>
      </c>
      <c r="F24" s="1" t="s">
        <v>46</v>
      </c>
      <c r="G24" s="7">
        <v>477.1</v>
      </c>
      <c r="H24" s="6">
        <f>+G24*[16]Main!$M$3</f>
        <v>121090.36550000001</v>
      </c>
      <c r="I24" s="6">
        <f>+[16]Main!$M$5-[16]Main!$M$6</f>
        <v>13000</v>
      </c>
      <c r="J24" s="6">
        <f t="shared" si="1"/>
        <v>108090.36550000001</v>
      </c>
      <c r="K24" s="3" t="s">
        <v>2007</v>
      </c>
      <c r="L24" s="6">
        <f>+[16]Main!$M$3</f>
        <v>253.80500000000001</v>
      </c>
      <c r="M24" s="9">
        <v>46206</v>
      </c>
      <c r="N24" s="7">
        <f>+[16]Model!$BO$34</f>
        <v>586.57186985582075</v>
      </c>
      <c r="O24" s="10">
        <f>N24/G24-1</f>
        <v>0.22945267209352482</v>
      </c>
      <c r="P24" s="10">
        <f>+[16]Model!$BO$32</f>
        <v>0.03</v>
      </c>
      <c r="Q24" s="10">
        <f>+[16]Model!$BO$30</f>
        <v>-0.05</v>
      </c>
      <c r="R24" s="10">
        <f>[16]Model!$BO$30</f>
        <v>-0.05</v>
      </c>
      <c r="S24" s="11">
        <f>($J24/$L24)/AB24</f>
        <v>30.616791867036049</v>
      </c>
      <c r="T24" s="11">
        <f>($J24/$L24)/AC24</f>
        <v>29.090134895524006</v>
      </c>
      <c r="U24" s="11">
        <f>($J24/$L24)/AD24</f>
        <v>37.162266568103966</v>
      </c>
      <c r="V24" s="11">
        <f>($J24/$L24)/AE24</f>
        <v>27.057152151872391</v>
      </c>
      <c r="W24" s="114">
        <f>($J24/$L24)/AF24</f>
        <v>22.497600362940911</v>
      </c>
      <c r="X24" s="119">
        <f t="shared" ref="X24" si="54">($J24/$L24)/AG24</f>
        <v>20.145675254043116</v>
      </c>
      <c r="Y24" s="11">
        <f t="shared" ref="Y24" si="55">($J24/$L24)/AH24</f>
        <v>17.38993772439655</v>
      </c>
      <c r="Z24" s="11">
        <f t="shared" ref="Z24" si="56">($J24/$L24)/AI24</f>
        <v>14.958889177045011</v>
      </c>
      <c r="AA24" s="11">
        <f t="shared" ref="AA24" si="57">($J24/$L24)/AJ24</f>
        <v>12.885917545248759</v>
      </c>
      <c r="AB24" s="125">
        <v>13.91</v>
      </c>
      <c r="AC24" s="61">
        <v>14.64</v>
      </c>
      <c r="AD24" s="61">
        <v>11.46</v>
      </c>
      <c r="AE24" s="61">
        <v>15.74</v>
      </c>
      <c r="AF24" s="61">
        <v>18.93</v>
      </c>
      <c r="AG24" s="4">
        <v>21.14</v>
      </c>
      <c r="AH24" s="4">
        <v>24.49</v>
      </c>
      <c r="AI24" s="4">
        <v>28.47</v>
      </c>
      <c r="AJ24" s="4">
        <v>33.049999999999997</v>
      </c>
      <c r="AK24" s="4">
        <v>37.36</v>
      </c>
      <c r="AM24" t="s">
        <v>2227</v>
      </c>
      <c r="AN24" s="1" t="s">
        <v>2042</v>
      </c>
      <c r="AO24" s="10">
        <f>BD24/FV24-1</f>
        <v>8.3774483853890969E-2</v>
      </c>
      <c r="AP24" s="10">
        <f>BD24/BX24-1</f>
        <v>9.7868346963399855E-2</v>
      </c>
      <c r="AQ24" s="10">
        <f>BD24/CA24-1</f>
        <v>0.12710756314087113</v>
      </c>
      <c r="AR24" s="122">
        <f>BD24/KT24-1</f>
        <v>0.10363881401617259</v>
      </c>
      <c r="BD24" s="1">
        <v>491.34</v>
      </c>
      <c r="BE24" s="1">
        <v>480.18</v>
      </c>
      <c r="BF24" s="1">
        <v>475.2</v>
      </c>
      <c r="BG24" s="1">
        <v>468.42</v>
      </c>
      <c r="BH24" s="1">
        <v>466.79</v>
      </c>
      <c r="BJ24" s="1">
        <v>451.63</v>
      </c>
      <c r="BK24" s="1">
        <v>458.99</v>
      </c>
      <c r="BL24" s="1">
        <v>453.17</v>
      </c>
      <c r="BM24" s="1">
        <v>450.46</v>
      </c>
      <c r="BN24" s="1">
        <v>444.92500000000001</v>
      </c>
      <c r="BO24" s="1">
        <v>445.04</v>
      </c>
      <c r="BP24" s="1">
        <v>435.71</v>
      </c>
      <c r="BQ24" s="1">
        <v>445.77</v>
      </c>
      <c r="BR24" s="1">
        <v>442.96</v>
      </c>
      <c r="BS24" s="1">
        <v>446.83</v>
      </c>
      <c r="BT24" s="1">
        <v>441.74</v>
      </c>
      <c r="BU24" s="1">
        <v>428.34</v>
      </c>
      <c r="BV24" s="1">
        <v>425.09</v>
      </c>
      <c r="BW24" s="1">
        <v>438.4</v>
      </c>
      <c r="BX24" s="1">
        <v>447.54</v>
      </c>
      <c r="BY24" s="1">
        <v>447.97</v>
      </c>
      <c r="BZ24" s="1">
        <v>437.22</v>
      </c>
      <c r="CA24" s="1">
        <v>435.93</v>
      </c>
      <c r="CB24" s="1">
        <v>434.52</v>
      </c>
      <c r="CC24" s="1">
        <v>433.54</v>
      </c>
      <c r="CD24" s="1">
        <v>430.44</v>
      </c>
      <c r="CE24" s="1">
        <v>434.31</v>
      </c>
      <c r="CF24" s="1">
        <v>436.58</v>
      </c>
      <c r="CG24" s="1">
        <v>436.95</v>
      </c>
      <c r="CH24" s="1">
        <v>450.41</v>
      </c>
      <c r="CI24" s="1">
        <v>453.06</v>
      </c>
      <c r="CJ24" s="1">
        <v>448.29</v>
      </c>
      <c r="CK24" s="1">
        <v>435.17</v>
      </c>
      <c r="CL24" s="1">
        <v>429.82</v>
      </c>
      <c r="CM24" s="1">
        <v>425</v>
      </c>
      <c r="CN24" s="1">
        <v>427.65</v>
      </c>
      <c r="CO24" s="1">
        <v>424.36</v>
      </c>
      <c r="CP24" s="1">
        <v>429.85</v>
      </c>
      <c r="CQ24" s="1">
        <v>423.92</v>
      </c>
      <c r="CR24" s="1">
        <v>427.38</v>
      </c>
      <c r="CS24" s="1">
        <v>423.24</v>
      </c>
      <c r="CT24" s="1">
        <v>430.14</v>
      </c>
      <c r="CU24" s="1">
        <v>426.01</v>
      </c>
      <c r="CV24" s="1">
        <v>430.29</v>
      </c>
      <c r="CW24" s="1">
        <v>435.1</v>
      </c>
      <c r="CX24" s="1">
        <v>437.67</v>
      </c>
      <c r="CY24" s="1">
        <v>436.59</v>
      </c>
      <c r="CZ24" s="1">
        <v>439.18</v>
      </c>
      <c r="DA24" s="1">
        <v>441.2</v>
      </c>
      <c r="DB24" s="1">
        <v>435.65</v>
      </c>
      <c r="DC24" s="1">
        <v>441.7</v>
      </c>
      <c r="DD24" s="1">
        <v>444.28</v>
      </c>
      <c r="DE24" s="1">
        <v>440.05</v>
      </c>
      <c r="DF24" s="1">
        <v>436.27</v>
      </c>
      <c r="DG24" s="1">
        <v>446.78</v>
      </c>
      <c r="DH24" s="1">
        <v>443.92</v>
      </c>
      <c r="DI24" s="1">
        <v>431.86</v>
      </c>
      <c r="DJ24" s="1">
        <v>434.3</v>
      </c>
      <c r="DK24" s="1">
        <v>438.71</v>
      </c>
      <c r="DL24" s="1">
        <v>447.26</v>
      </c>
      <c r="DM24" s="1">
        <v>446.54</v>
      </c>
      <c r="DN24" s="1">
        <v>443.16</v>
      </c>
      <c r="DO24" s="1">
        <v>433.07</v>
      </c>
      <c r="DP24" s="1">
        <v>453.74</v>
      </c>
      <c r="DQ24" s="1">
        <v>454.97</v>
      </c>
      <c r="DR24" s="1">
        <v>448.62</v>
      </c>
      <c r="DS24" s="1">
        <v>451.23500000000001</v>
      </c>
      <c r="DT24" s="1">
        <v>454</v>
      </c>
      <c r="DU24" s="1">
        <v>458.05</v>
      </c>
      <c r="DV24" s="1">
        <v>451.59</v>
      </c>
      <c r="DW24" s="1">
        <v>462.49</v>
      </c>
      <c r="DX24" s="1">
        <v>466.1</v>
      </c>
      <c r="DY24" s="1">
        <v>469.34</v>
      </c>
      <c r="DZ24" s="1">
        <v>478.13</v>
      </c>
      <c r="EA24" s="1">
        <v>492.38</v>
      </c>
      <c r="EB24" s="1">
        <v>499.17</v>
      </c>
      <c r="EC24" s="1">
        <v>460.87</v>
      </c>
      <c r="ED24" s="1">
        <v>456.69</v>
      </c>
      <c r="EE24" s="1">
        <v>460.82</v>
      </c>
      <c r="EF24" s="1">
        <v>477.89</v>
      </c>
      <c r="EG24" s="1">
        <v>474.27</v>
      </c>
      <c r="EH24" s="1">
        <v>486.03</v>
      </c>
      <c r="EI24" s="1">
        <v>496.83</v>
      </c>
      <c r="EJ24" s="1">
        <v>480.13</v>
      </c>
      <c r="EK24" s="1">
        <v>483.05</v>
      </c>
      <c r="EL24" s="1">
        <v>487.43</v>
      </c>
      <c r="EM24" s="1">
        <v>481.01</v>
      </c>
      <c r="EN24" s="1">
        <v>476.9</v>
      </c>
      <c r="EO24" s="1">
        <v>469.27</v>
      </c>
      <c r="EP24" s="1">
        <v>470.31</v>
      </c>
      <c r="EQ24" s="1">
        <v>477.32</v>
      </c>
      <c r="ER24" s="1">
        <v>491.47</v>
      </c>
      <c r="ES24" s="1">
        <v>465.02</v>
      </c>
      <c r="ET24" s="1">
        <v>461.24</v>
      </c>
      <c r="EU24" s="1">
        <v>463.48</v>
      </c>
      <c r="EV24" s="1">
        <v>470.87</v>
      </c>
      <c r="EW24" s="1">
        <v>477.92</v>
      </c>
      <c r="EX24" s="1">
        <v>458.81</v>
      </c>
      <c r="EY24" s="1">
        <v>470.52</v>
      </c>
      <c r="EZ24" s="1">
        <v>465.61</v>
      </c>
      <c r="FA24" s="1">
        <v>472.01</v>
      </c>
      <c r="FB24" s="1">
        <v>469.9</v>
      </c>
      <c r="FC24" s="1">
        <v>475.68</v>
      </c>
      <c r="FD24" s="1">
        <v>477.91</v>
      </c>
      <c r="FE24" s="1">
        <v>474.17</v>
      </c>
      <c r="FF24" s="1">
        <v>476.84</v>
      </c>
      <c r="FG24" s="1">
        <v>468.41</v>
      </c>
      <c r="FH24" s="1">
        <v>467.35</v>
      </c>
      <c r="FI24" s="1">
        <v>461.14</v>
      </c>
      <c r="FJ24" s="1">
        <v>442.08</v>
      </c>
      <c r="FK24" s="1">
        <v>441.36</v>
      </c>
      <c r="FL24" s="1">
        <v>438.92</v>
      </c>
      <c r="FM24" s="1">
        <v>449.53</v>
      </c>
      <c r="FN24" s="1">
        <v>454.67</v>
      </c>
      <c r="FO24" s="1">
        <v>460.59</v>
      </c>
      <c r="FP24" s="1">
        <v>463.86</v>
      </c>
      <c r="FQ24" s="1">
        <v>469.68</v>
      </c>
      <c r="FR24" s="1">
        <v>484.15</v>
      </c>
      <c r="FS24" s="1">
        <v>468.38</v>
      </c>
      <c r="FT24" s="1">
        <v>448.8</v>
      </c>
      <c r="FU24" s="1">
        <v>452.13</v>
      </c>
      <c r="FV24" s="1">
        <v>453.36</v>
      </c>
      <c r="FW24" s="1">
        <v>453.74</v>
      </c>
      <c r="FX24" s="1">
        <v>459.78</v>
      </c>
      <c r="FY24" s="1">
        <v>462.9</v>
      </c>
      <c r="FZ24" s="1">
        <v>462.99</v>
      </c>
      <c r="GA24" s="1">
        <v>459.21</v>
      </c>
      <c r="GB24" s="1">
        <v>460.31</v>
      </c>
      <c r="GC24" s="1">
        <v>456.2</v>
      </c>
      <c r="GD24" s="1">
        <v>447.38</v>
      </c>
      <c r="GE24" s="1">
        <v>449.52</v>
      </c>
      <c r="GF24" s="1">
        <v>454.96</v>
      </c>
      <c r="GG24" s="1">
        <v>455.71</v>
      </c>
      <c r="GH24" s="1">
        <v>452.04</v>
      </c>
      <c r="GI24" s="1">
        <v>445.93</v>
      </c>
      <c r="GJ24" s="1">
        <v>444.64</v>
      </c>
      <c r="GK24" s="1">
        <v>437.01</v>
      </c>
      <c r="GL24" s="1">
        <v>442.04</v>
      </c>
      <c r="GM24" s="1">
        <v>455.48</v>
      </c>
      <c r="GN24" s="1">
        <v>457.36</v>
      </c>
      <c r="GO24" s="1">
        <v>463.13</v>
      </c>
      <c r="GP24" s="1">
        <v>433.15</v>
      </c>
      <c r="GQ24" s="1">
        <v>425.6</v>
      </c>
      <c r="GR24" s="1">
        <v>433.61</v>
      </c>
      <c r="GS24" s="1">
        <v>432.17</v>
      </c>
      <c r="GT24" s="1">
        <v>429.82</v>
      </c>
      <c r="GU24" s="1">
        <v>424</v>
      </c>
      <c r="GV24" s="1">
        <v>426.76</v>
      </c>
      <c r="GW24" s="1">
        <v>422.32</v>
      </c>
      <c r="GX24" s="1">
        <v>421.03</v>
      </c>
      <c r="GY24" s="1">
        <v>435.52</v>
      </c>
      <c r="GZ24" s="1">
        <v>434.02</v>
      </c>
      <c r="HA24" s="1">
        <v>437.15</v>
      </c>
      <c r="HB24" s="1">
        <v>434.52</v>
      </c>
      <c r="HC24" s="1">
        <v>434.19</v>
      </c>
      <c r="HD24" s="1">
        <v>429.22</v>
      </c>
      <c r="HE24" s="1">
        <v>421.2</v>
      </c>
      <c r="HF24" s="1">
        <v>409.47</v>
      </c>
      <c r="HG24" s="1">
        <v>416.25</v>
      </c>
      <c r="HH24" s="1">
        <v>417</v>
      </c>
      <c r="HI24" s="1">
        <v>421.67</v>
      </c>
      <c r="HJ24" s="1">
        <v>426</v>
      </c>
      <c r="HK24" s="1">
        <v>425.57</v>
      </c>
      <c r="HL24" s="1">
        <v>419.89</v>
      </c>
      <c r="HM24" s="1">
        <v>417.21</v>
      </c>
      <c r="HN24" s="1">
        <v>422.39</v>
      </c>
      <c r="HO24" s="1">
        <v>420.17</v>
      </c>
      <c r="HP24" s="1">
        <v>421.39</v>
      </c>
      <c r="HQ24" s="1">
        <v>422.63</v>
      </c>
      <c r="HR24" s="1">
        <v>426.44</v>
      </c>
      <c r="HS24" s="1">
        <v>426.27</v>
      </c>
      <c r="HT24" s="1">
        <v>419.1</v>
      </c>
      <c r="HU24" s="1">
        <v>416.81</v>
      </c>
      <c r="HV24" s="1">
        <v>408.61</v>
      </c>
      <c r="HW24" s="1">
        <v>407.9</v>
      </c>
      <c r="HX24" s="1">
        <v>412.22</v>
      </c>
      <c r="HY24" s="1">
        <v>407.37</v>
      </c>
      <c r="HZ24" s="1">
        <v>407.79</v>
      </c>
      <c r="IA24" s="1">
        <v>414.86</v>
      </c>
      <c r="IB24" s="1">
        <v>421.15</v>
      </c>
      <c r="IC24" s="1">
        <v>410.28</v>
      </c>
      <c r="ID24" s="1">
        <v>402.9</v>
      </c>
      <c r="IE24" s="1">
        <v>403.3</v>
      </c>
      <c r="IF24" s="1">
        <v>408.85</v>
      </c>
      <c r="IG24" s="1">
        <v>404.21</v>
      </c>
      <c r="IH24" s="1">
        <v>391.64</v>
      </c>
      <c r="II24" s="1">
        <v>395.31</v>
      </c>
      <c r="IJ24" s="1">
        <v>385.73500000000001</v>
      </c>
      <c r="IK24" s="1">
        <v>381.87</v>
      </c>
      <c r="IL24" s="1">
        <v>376.62</v>
      </c>
      <c r="IM24" s="1">
        <v>379.72</v>
      </c>
      <c r="IN24" s="1">
        <v>383.13</v>
      </c>
      <c r="IO24" s="1">
        <v>383.12</v>
      </c>
      <c r="IP24" s="1">
        <v>387.11</v>
      </c>
      <c r="IQ24" s="1">
        <v>387.15</v>
      </c>
      <c r="IR24" s="1">
        <v>391.36</v>
      </c>
      <c r="IS24" s="1">
        <v>393.21</v>
      </c>
      <c r="IT24" s="1">
        <v>394.53</v>
      </c>
      <c r="IU24" s="1">
        <v>397.37</v>
      </c>
      <c r="IV24" s="1">
        <v>388.55</v>
      </c>
      <c r="IW24" s="1">
        <v>396.48</v>
      </c>
      <c r="IX24" s="1">
        <v>395.25</v>
      </c>
      <c r="IY24" s="1">
        <v>396.12</v>
      </c>
      <c r="IZ24" s="1">
        <v>396.93</v>
      </c>
      <c r="JA24" s="1">
        <v>396.62</v>
      </c>
      <c r="JB24" s="1">
        <v>401</v>
      </c>
      <c r="JC24" s="1">
        <v>391.02</v>
      </c>
      <c r="JD24" s="1">
        <v>392.05</v>
      </c>
      <c r="JE24" s="1">
        <v>389.08</v>
      </c>
      <c r="JF24" s="1">
        <v>387.18</v>
      </c>
      <c r="JG24" s="1">
        <v>388.94</v>
      </c>
      <c r="JH24" s="1">
        <v>395.12</v>
      </c>
      <c r="JI24" s="1">
        <v>397.46</v>
      </c>
      <c r="JJ24" s="1">
        <v>394.36</v>
      </c>
      <c r="JK24" s="1">
        <v>390.76</v>
      </c>
      <c r="JL24" s="1">
        <v>389.88</v>
      </c>
      <c r="JM24" s="1">
        <v>392.79</v>
      </c>
      <c r="JN24" s="1">
        <v>390.3</v>
      </c>
      <c r="JO24" s="1">
        <v>395.92</v>
      </c>
      <c r="JP24" s="1">
        <v>387.77</v>
      </c>
      <c r="JQ24" s="1">
        <v>374.46</v>
      </c>
      <c r="JR24" s="1">
        <v>366.54</v>
      </c>
      <c r="JS24" s="1">
        <v>375.63</v>
      </c>
      <c r="JT24" s="1">
        <v>385.65</v>
      </c>
      <c r="JU24" s="1">
        <v>374.98</v>
      </c>
      <c r="JV24" s="1">
        <v>472.27</v>
      </c>
      <c r="JW24" s="1">
        <v>462.13</v>
      </c>
      <c r="JX24" s="1">
        <v>456.87</v>
      </c>
      <c r="JY24" s="1">
        <v>469.16</v>
      </c>
      <c r="JZ24" s="1">
        <v>468.41</v>
      </c>
      <c r="KA24" s="1">
        <v>460.83</v>
      </c>
      <c r="KB24" s="1">
        <v>469.65</v>
      </c>
      <c r="KC24" s="1">
        <v>472.27</v>
      </c>
      <c r="KD24" s="1">
        <v>476.95</v>
      </c>
      <c r="KE24" s="1">
        <v>470.13</v>
      </c>
      <c r="KF24" s="1">
        <v>458.49</v>
      </c>
      <c r="KG24" s="1">
        <v>459.81</v>
      </c>
      <c r="KH24" s="1">
        <v>463.27</v>
      </c>
      <c r="KI24" s="1">
        <v>469.55</v>
      </c>
      <c r="KJ24" s="1">
        <v>464.2</v>
      </c>
      <c r="KK24" s="1">
        <v>472.35</v>
      </c>
      <c r="KL24" s="1">
        <v>468.85</v>
      </c>
      <c r="KM24" s="1">
        <v>479.53</v>
      </c>
      <c r="KN24" s="1">
        <v>478.96499999999997</v>
      </c>
      <c r="KO24" s="1">
        <v>466.36</v>
      </c>
      <c r="KP24" s="1">
        <v>459.41</v>
      </c>
      <c r="KQ24" s="1">
        <v>459.62</v>
      </c>
      <c r="KR24" s="1">
        <v>457.03</v>
      </c>
      <c r="KS24" s="1">
        <v>452.16</v>
      </c>
      <c r="KT24" s="1">
        <v>445.2</v>
      </c>
    </row>
    <row r="25" spans="1:306" x14ac:dyDescent="0.25">
      <c r="A25" t="s">
        <v>330</v>
      </c>
      <c r="B25"/>
      <c r="C25"/>
      <c r="D25" s="1">
        <f>+D24+1</f>
        <v>16</v>
      </c>
      <c r="E25" s="13" t="s">
        <v>251</v>
      </c>
      <c r="F25" t="s">
        <v>252</v>
      </c>
      <c r="G25" s="14">
        <v>48.3</v>
      </c>
      <c r="H25" s="6">
        <f>+G25*L25*EUR</f>
        <v>52670.483460000003</v>
      </c>
      <c r="I25" s="6">
        <f>([17]Main!$J$5-[17]Main!$J$6)</f>
        <v>-32518</v>
      </c>
      <c r="J25" s="6">
        <f>+H25-I25</f>
        <v>85188.483460000003</v>
      </c>
      <c r="K25" s="3" t="s">
        <v>2007</v>
      </c>
      <c r="L25" s="6">
        <f>+[17]Main!$J$3</f>
        <v>982.42</v>
      </c>
      <c r="M25" s="9">
        <v>46229</v>
      </c>
      <c r="V25" s="4">
        <f>($J25/$L25)/AE25</f>
        <v>68.819758868850911</v>
      </c>
      <c r="W25" s="114">
        <f>($J25/$L25)/AF25</f>
        <v>16.870213263570456</v>
      </c>
      <c r="X25" s="119">
        <f t="shared" ref="X25" si="58">($J25/$L25)/AG25</f>
        <v>15.969225814871482</v>
      </c>
      <c r="Y25" s="11">
        <f t="shared" ref="Y25" si="59">($J25/$L25)/AH25</f>
        <v>14.309058774711577</v>
      </c>
      <c r="Z25" s="11">
        <f t="shared" ref="Z25" si="60">($J25/$L25)/AI25</f>
        <v>15.028231572747339</v>
      </c>
      <c r="AA25" s="11">
        <f t="shared" ref="AA25" si="61">($J25/$L25)/AJ25</f>
        <v>14.797422555418454</v>
      </c>
      <c r="AB25" s="125">
        <v>4.7300000000000004</v>
      </c>
      <c r="AC25" s="61">
        <v>2.61</v>
      </c>
      <c r="AD25" s="61">
        <v>-1.4</v>
      </c>
      <c r="AE25" s="61">
        <v>1.26</v>
      </c>
      <c r="AF25" s="61">
        <v>5.14</v>
      </c>
      <c r="AG25" s="61">
        <v>5.43</v>
      </c>
      <c r="AH25" s="61">
        <v>6.06</v>
      </c>
      <c r="AI25" s="61">
        <v>5.77</v>
      </c>
      <c r="AJ25" s="61">
        <v>5.86</v>
      </c>
      <c r="AK25" s="61">
        <v>5.28</v>
      </c>
      <c r="AM25" t="s">
        <v>2228</v>
      </c>
      <c r="AN25" t="s">
        <v>2053</v>
      </c>
    </row>
    <row r="26" spans="1:306" x14ac:dyDescent="0.25">
      <c r="A26" t="s">
        <v>330</v>
      </c>
      <c r="B26"/>
      <c r="C26"/>
      <c r="D26" s="1">
        <f>+D25+1</f>
        <v>17</v>
      </c>
      <c r="E26" s="13" t="s">
        <v>59</v>
      </c>
      <c r="F26" s="1" t="s">
        <v>60</v>
      </c>
      <c r="G26" s="7">
        <v>17.14</v>
      </c>
      <c r="H26" s="6">
        <f>+G26*2*L26</f>
        <v>53993.139551920001</v>
      </c>
      <c r="I26" s="6">
        <f>([18]Main!$K$6-[18]Main!$K$7)/JPY</f>
        <v>-23222.184925236499</v>
      </c>
      <c r="J26" s="6">
        <f>+H26-I26</f>
        <v>77215.324477156508</v>
      </c>
      <c r="K26" s="3" t="s">
        <v>2007</v>
      </c>
      <c r="L26" s="6">
        <f>+[18]Main!$K$4</f>
        <v>1575.062414</v>
      </c>
      <c r="M26" s="9">
        <v>46229</v>
      </c>
      <c r="W26" s="114">
        <f>($J26/$L26)/AF26</f>
        <v>21.6918850159946</v>
      </c>
      <c r="X26" s="119">
        <f t="shared" ref="X26" si="62">($J26/$L26)/AG26</f>
        <v>16.395872955233372</v>
      </c>
      <c r="Y26" s="11">
        <f t="shared" ref="Y26" si="63">($J26/$L26)/AH26</f>
        <v>13.966854739643246</v>
      </c>
      <c r="Z26" s="11">
        <f t="shared" ref="Z26" si="64">($J26/$L26)/AI26</f>
        <v>12.317502546770802</v>
      </c>
      <c r="AA26" s="11">
        <f t="shared" ref="AA26" si="65">($J26/$L26)/AJ26</f>
        <v>11.507901440410279</v>
      </c>
      <c r="AB26" s="125" t="s">
        <v>1677</v>
      </c>
      <c r="AC26" s="61" t="s">
        <v>1677</v>
      </c>
      <c r="AD26" s="61" t="s">
        <v>1677</v>
      </c>
      <c r="AE26" s="61" t="s">
        <v>1677</v>
      </c>
      <c r="AF26" s="61">
        <v>2.2599999999999998</v>
      </c>
      <c r="AG26" s="61">
        <v>2.99</v>
      </c>
      <c r="AH26" s="61">
        <v>3.51</v>
      </c>
      <c r="AI26" s="61">
        <v>3.98</v>
      </c>
      <c r="AJ26" s="61">
        <v>4.26</v>
      </c>
      <c r="AK26" s="61">
        <v>4.4000000000000004</v>
      </c>
      <c r="AM26" t="s">
        <v>2229</v>
      </c>
      <c r="AN26" t="s">
        <v>2052</v>
      </c>
    </row>
    <row r="27" spans="1:306" x14ac:dyDescent="0.25">
      <c r="A27" t="s">
        <v>330</v>
      </c>
      <c r="B27"/>
      <c r="C27"/>
      <c r="D27" s="1">
        <f>+D26</f>
        <v>17</v>
      </c>
      <c r="E27" s="13" t="s">
        <v>59</v>
      </c>
      <c r="F27" s="1" t="s">
        <v>331</v>
      </c>
      <c r="G27" s="16">
        <v>5513</v>
      </c>
      <c r="H27" s="6">
        <f>+G27*L27/JPY</f>
        <v>52995.53914178822</v>
      </c>
      <c r="I27" s="6">
        <f>([18]Main!$K$6-[18]Main!$K$7)/JPY</f>
        <v>-23222.184925236499</v>
      </c>
      <c r="J27" s="6">
        <f>+H27-I27</f>
        <v>76217.724067024712</v>
      </c>
      <c r="K27" s="3" t="s">
        <v>2007</v>
      </c>
      <c r="L27" s="6">
        <f>+[18]Main!$K$4</f>
        <v>1575.062414</v>
      </c>
      <c r="M27" s="9">
        <f>+M26</f>
        <v>46229</v>
      </c>
      <c r="W27" s="112" t="s">
        <v>1677</v>
      </c>
      <c r="X27" s="4" t="s">
        <v>1677</v>
      </c>
      <c r="Y27" s="4" t="s">
        <v>1677</v>
      </c>
      <c r="Z27" s="4" t="s">
        <v>1677</v>
      </c>
      <c r="AA27" s="4" t="s">
        <v>1677</v>
      </c>
      <c r="AB27" s="125" t="s">
        <v>1677</v>
      </c>
      <c r="AC27" s="61" t="s">
        <v>1677</v>
      </c>
      <c r="AD27" s="61" t="s">
        <v>1677</v>
      </c>
      <c r="AE27" s="61" t="s">
        <v>1677</v>
      </c>
      <c r="AF27" s="61" t="s">
        <v>1677</v>
      </c>
      <c r="AG27" s="61" t="s">
        <v>1677</v>
      </c>
      <c r="AH27" s="61" t="s">
        <v>1677</v>
      </c>
      <c r="AI27" s="61" t="s">
        <v>1677</v>
      </c>
      <c r="AJ27" s="61" t="s">
        <v>1677</v>
      </c>
      <c r="AK27" s="61" t="s">
        <v>1677</v>
      </c>
      <c r="AM27" t="s">
        <v>2229</v>
      </c>
      <c r="AN27" t="s">
        <v>2052</v>
      </c>
    </row>
    <row r="28" spans="1:306" x14ac:dyDescent="0.25">
      <c r="A28" s="1" t="s">
        <v>330</v>
      </c>
      <c r="B28"/>
      <c r="C28"/>
      <c r="D28" s="1">
        <f t="shared" ref="D28:D50" si="66">+D27+1</f>
        <v>18</v>
      </c>
      <c r="E28" s="13" t="s">
        <v>40</v>
      </c>
      <c r="F28" s="1" t="s">
        <v>41</v>
      </c>
      <c r="G28" s="14">
        <v>143.15</v>
      </c>
      <c r="H28" s="6">
        <f>+G28*L28</f>
        <v>62270.25</v>
      </c>
      <c r="I28" s="6">
        <f>([19]Main!$J$5-[19]Main!$J$6)*EUR</f>
        <v>-9232.9800000000014</v>
      </c>
      <c r="J28" s="6">
        <f>H28-I28</f>
        <v>71503.23</v>
      </c>
      <c r="K28" s="3" t="s">
        <v>2007</v>
      </c>
      <c r="L28" s="3">
        <v>435</v>
      </c>
      <c r="M28" s="9">
        <v>46229</v>
      </c>
      <c r="W28" s="114">
        <f>($J28/$L28)/AF28</f>
        <v>17.412631502045585</v>
      </c>
      <c r="X28" s="119">
        <f t="shared" ref="X28" si="67">($J28/$L28)/AG28</f>
        <v>16.210576072910289</v>
      </c>
      <c r="Y28" s="11">
        <f t="shared" ref="Y28" si="68">($J28/$L28)/AH28</f>
        <v>14.808580304442373</v>
      </c>
      <c r="Z28" s="11">
        <f t="shared" ref="Z28" si="69">($J28/$L28)/AI28</f>
        <v>13.495504218334181</v>
      </c>
      <c r="AA28" s="11">
        <f t="shared" ref="AA28" si="70">($J28/$L28)/AJ28</f>
        <v>12.452669801462903</v>
      </c>
      <c r="AC28" s="61">
        <v>7.78</v>
      </c>
      <c r="AD28" s="61">
        <v>7.99</v>
      </c>
      <c r="AE28" s="61">
        <v>7.93</v>
      </c>
      <c r="AF28" s="61">
        <v>9.44</v>
      </c>
      <c r="AG28" s="61">
        <v>10.14</v>
      </c>
      <c r="AH28" s="61">
        <v>11.1</v>
      </c>
      <c r="AI28" s="61">
        <v>12.18</v>
      </c>
      <c r="AJ28" s="61">
        <v>13.2</v>
      </c>
      <c r="AK28" s="61">
        <v>15.21</v>
      </c>
      <c r="AN28" t="s">
        <v>2053</v>
      </c>
    </row>
    <row r="29" spans="1:306" x14ac:dyDescent="0.25">
      <c r="A29" s="1" t="s">
        <v>330</v>
      </c>
      <c r="B29"/>
      <c r="C29"/>
      <c r="D29" s="1">
        <f t="shared" si="66"/>
        <v>19</v>
      </c>
      <c r="E29" s="13" t="s">
        <v>53</v>
      </c>
      <c r="F29" s="1" t="s">
        <v>54</v>
      </c>
      <c r="G29" s="16">
        <v>6932</v>
      </c>
      <c r="H29" s="6">
        <f>+G29*L29/JPY</f>
        <v>71035.872735086974</v>
      </c>
      <c r="I29" s="6">
        <f>([20]Main!$J$5-[20]Main!$J$6)/JPY</f>
        <v>5874.7207812023198</v>
      </c>
      <c r="J29" s="6">
        <f>+H29-I29</f>
        <v>65161.151953884655</v>
      </c>
      <c r="K29" s="3" t="s">
        <v>2007</v>
      </c>
      <c r="L29" s="6">
        <f>+[20]Main!$J$3</f>
        <v>1679.057667</v>
      </c>
      <c r="M29" s="9">
        <v>46229</v>
      </c>
      <c r="W29" s="114">
        <f>($J29/$L29*JPY)/AF29</f>
        <v>20.563735593079681</v>
      </c>
      <c r="X29" s="119">
        <f>($J29/$L29*JPY)/AG29</f>
        <v>17.782645338363725</v>
      </c>
      <c r="Y29" s="11">
        <f>($J29/$L29*JPY)/AH29</f>
        <v>15.7949185754188</v>
      </c>
      <c r="Z29" s="11">
        <f>($J29/$L29*JPY)/AI29</f>
        <v>13.647661229593277</v>
      </c>
      <c r="AA29" s="129">
        <f>($J29/$L29*JPY)/AJ29</f>
        <v>12.440510868256803</v>
      </c>
      <c r="AB29" s="125">
        <v>227.84</v>
      </c>
      <c r="AC29" s="61">
        <v>200.24</v>
      </c>
      <c r="AD29" s="61">
        <v>242.32</v>
      </c>
      <c r="AE29" s="61">
        <v>274.77</v>
      </c>
      <c r="AF29" s="61">
        <v>309.22000000000003</v>
      </c>
      <c r="AG29" s="61">
        <v>357.58</v>
      </c>
      <c r="AH29" s="61">
        <v>402.58</v>
      </c>
      <c r="AI29" s="61">
        <v>465.92</v>
      </c>
      <c r="AJ29" s="61">
        <v>511.13</v>
      </c>
      <c r="AK29" s="61">
        <v>559.74</v>
      </c>
      <c r="AL29" s="1">
        <v>1925</v>
      </c>
      <c r="AM29" t="s">
        <v>2229</v>
      </c>
      <c r="AN29" t="s">
        <v>2052</v>
      </c>
    </row>
    <row r="30" spans="1:306" x14ac:dyDescent="0.25">
      <c r="A30" s="1" t="s">
        <v>330</v>
      </c>
      <c r="B30"/>
      <c r="C30"/>
      <c r="D30" s="1">
        <f t="shared" si="66"/>
        <v>20</v>
      </c>
      <c r="E30" s="13" t="s">
        <v>49</v>
      </c>
      <c r="F30" s="1" t="s">
        <v>50</v>
      </c>
      <c r="G30" s="7">
        <v>763.2</v>
      </c>
      <c r="H30" s="6">
        <f>+G30*L30</f>
        <v>80899.200000000012</v>
      </c>
      <c r="I30" s="6">
        <f>+[21]Main!$J$5-[21]Main!$J$6</f>
        <v>16553.5</v>
      </c>
      <c r="J30" s="6">
        <f>H30-I30</f>
        <v>64345.700000000012</v>
      </c>
      <c r="K30" s="3" t="s">
        <v>2007</v>
      </c>
      <c r="L30" s="6">
        <f>+[21]Main!$J$3</f>
        <v>106</v>
      </c>
      <c r="M30" s="9">
        <v>46229</v>
      </c>
      <c r="W30" s="114">
        <f>($J30/$L30)/AF30</f>
        <v>11.312614715996599</v>
      </c>
      <c r="X30" s="119">
        <f t="shared" ref="X30" si="71">($J30/$L30)/AG30</f>
        <v>10.351891297073285</v>
      </c>
      <c r="Y30" s="11">
        <f t="shared" ref="Y30" si="72">($J30/$L30)/AH30</f>
        <v>9.0968815474355988</v>
      </c>
      <c r="Z30" s="11">
        <f t="shared" ref="Z30" si="73">($J30/$L30)/AI30</f>
        <v>7.8886927311290123</v>
      </c>
      <c r="AA30" s="11">
        <f t="shared" ref="AA30" si="74">($J30/$L30)/AJ30</f>
        <v>7.6270248229724524</v>
      </c>
      <c r="AB30" s="125">
        <v>41.83</v>
      </c>
      <c r="AC30" s="61">
        <v>38.53</v>
      </c>
      <c r="AD30" s="61">
        <v>39.159999999999997</v>
      </c>
      <c r="AE30" s="61">
        <v>36.4</v>
      </c>
      <c r="AF30" s="61">
        <v>53.66</v>
      </c>
      <c r="AG30" s="61">
        <v>58.64</v>
      </c>
      <c r="AH30" s="61">
        <v>66.73</v>
      </c>
      <c r="AI30" s="61">
        <v>76.95</v>
      </c>
      <c r="AJ30" s="61">
        <v>79.59</v>
      </c>
      <c r="AK30" s="61">
        <v>82.73</v>
      </c>
      <c r="AL30" s="1">
        <v>1988</v>
      </c>
      <c r="AM30" t="s">
        <v>2225</v>
      </c>
      <c r="AN30" s="1" t="s">
        <v>2042</v>
      </c>
      <c r="AO30" s="10">
        <f>BD30/FV30-1</f>
        <v>-0.18004327153536226</v>
      </c>
      <c r="AP30" s="10">
        <f>BD30/BX30-1</f>
        <v>2.9473958163896086E-2</v>
      </c>
      <c r="AQ30" s="10">
        <f>BD30/CA30-1</f>
        <v>-2.7102833191516851E-3</v>
      </c>
      <c r="AR30" s="122">
        <f>BD30/KT30-1</f>
        <v>0.20552380952380944</v>
      </c>
      <c r="BD30" s="1">
        <v>632.9</v>
      </c>
      <c r="BE30" s="1">
        <v>620.14</v>
      </c>
      <c r="BF30" s="1">
        <v>623.42999999999995</v>
      </c>
      <c r="BG30" s="1">
        <v>618.03</v>
      </c>
      <c r="BH30" s="1">
        <v>612.5</v>
      </c>
      <c r="BJ30" s="1">
        <v>609.94000000000005</v>
      </c>
      <c r="BK30" s="1">
        <v>607.92999999999995</v>
      </c>
      <c r="BL30" s="1">
        <v>614.73</v>
      </c>
      <c r="BM30" s="1">
        <v>614.98</v>
      </c>
      <c r="BN30" s="1">
        <v>612.14</v>
      </c>
      <c r="BO30" s="1">
        <v>611.48</v>
      </c>
      <c r="BP30" s="1">
        <v>601.65</v>
      </c>
      <c r="BQ30" s="1">
        <v>616.17999999999995</v>
      </c>
      <c r="BR30" s="1">
        <v>611.34</v>
      </c>
      <c r="BS30" s="1">
        <v>635.45000000000005</v>
      </c>
      <c r="BT30" s="1">
        <v>628.73</v>
      </c>
      <c r="BU30" s="1">
        <v>618.95000000000005</v>
      </c>
      <c r="BV30" s="1">
        <v>602.91999999999996</v>
      </c>
      <c r="BW30" s="1">
        <v>600.66</v>
      </c>
      <c r="BX30" s="1">
        <v>614.78</v>
      </c>
      <c r="BY30" s="1">
        <v>621.52</v>
      </c>
      <c r="BZ30" s="1">
        <v>627.74</v>
      </c>
      <c r="CA30" s="1">
        <v>634.62</v>
      </c>
      <c r="CB30" s="1">
        <v>638.88</v>
      </c>
      <c r="CC30" s="1">
        <v>642.59</v>
      </c>
      <c r="CD30" s="1">
        <v>649.76</v>
      </c>
      <c r="CE30" s="1">
        <v>630.29999999999995</v>
      </c>
      <c r="CF30" s="1">
        <v>629.67999999999995</v>
      </c>
      <c r="CG30" s="1">
        <v>698.25</v>
      </c>
      <c r="CH30" s="1">
        <v>712.87</v>
      </c>
      <c r="CI30" s="1">
        <v>719.88</v>
      </c>
      <c r="CJ30" s="1">
        <v>723.41</v>
      </c>
      <c r="CK30" s="1">
        <v>712.77</v>
      </c>
      <c r="CL30" s="1">
        <v>714.89</v>
      </c>
      <c r="CM30" s="1">
        <v>709.1</v>
      </c>
      <c r="CN30" s="1">
        <v>721.05</v>
      </c>
      <c r="CO30" s="1">
        <v>702.27</v>
      </c>
      <c r="CP30" s="1">
        <v>709.21</v>
      </c>
      <c r="CQ30" s="1">
        <v>701.42</v>
      </c>
      <c r="CR30" s="1">
        <v>707.06</v>
      </c>
      <c r="CS30" s="1">
        <v>686.36</v>
      </c>
      <c r="CT30" s="1">
        <v>731.77</v>
      </c>
      <c r="CU30" s="1">
        <v>744.44</v>
      </c>
      <c r="CV30" s="1">
        <v>751.57</v>
      </c>
      <c r="CW30" s="1">
        <v>766.02</v>
      </c>
      <c r="CX30" s="1">
        <v>746.58</v>
      </c>
      <c r="CY30" s="1">
        <v>747.36</v>
      </c>
      <c r="CZ30" s="1">
        <v>749.41</v>
      </c>
      <c r="DA30" s="1">
        <v>750.57</v>
      </c>
      <c r="DB30" s="1">
        <v>746</v>
      </c>
      <c r="DC30" s="1">
        <v>753.93</v>
      </c>
      <c r="DD30" s="1">
        <v>755.51</v>
      </c>
      <c r="DE30" s="1">
        <v>746.46</v>
      </c>
      <c r="DF30" s="1">
        <v>748.87</v>
      </c>
      <c r="DG30" s="1">
        <v>767.85</v>
      </c>
      <c r="DH30" s="1">
        <v>775.53</v>
      </c>
      <c r="DI30" s="1">
        <v>760.27</v>
      </c>
      <c r="DJ30" s="1">
        <v>763.04</v>
      </c>
      <c r="DK30" s="1">
        <v>761.85</v>
      </c>
      <c r="DL30" s="1">
        <v>777.25</v>
      </c>
      <c r="DM30" s="1">
        <v>772.64</v>
      </c>
      <c r="DN30" s="1">
        <v>749.29</v>
      </c>
      <c r="DO30" s="1">
        <v>737.71</v>
      </c>
      <c r="DP30" s="1">
        <v>756.73</v>
      </c>
      <c r="DQ30" s="1">
        <v>749.47</v>
      </c>
      <c r="DR30" s="1">
        <v>741.69</v>
      </c>
      <c r="DS30" s="1">
        <v>736.53</v>
      </c>
      <c r="DT30" s="1">
        <v>732.87</v>
      </c>
      <c r="DU30" s="1">
        <v>737.45</v>
      </c>
      <c r="DV30" s="1">
        <v>744.12</v>
      </c>
      <c r="DW30" s="1">
        <v>759.05</v>
      </c>
      <c r="DX30" s="1">
        <v>756.91</v>
      </c>
      <c r="DY30" s="1">
        <v>745.77</v>
      </c>
      <c r="DZ30" s="1">
        <v>746.61</v>
      </c>
      <c r="EA30" s="1">
        <v>774.66</v>
      </c>
      <c r="EB30" s="1">
        <v>772.03</v>
      </c>
      <c r="EC30" s="1">
        <v>781.6</v>
      </c>
      <c r="ED30" s="1">
        <v>759.86</v>
      </c>
      <c r="EE30" s="1">
        <v>764.93</v>
      </c>
      <c r="EF30" s="1">
        <v>787.5</v>
      </c>
      <c r="EG30" s="1">
        <v>766.66</v>
      </c>
      <c r="EH30" s="1">
        <v>790.81</v>
      </c>
      <c r="EI30" s="1">
        <v>781.67</v>
      </c>
      <c r="EJ30" s="1">
        <v>770.79</v>
      </c>
      <c r="EK30" s="1">
        <v>784.28</v>
      </c>
      <c r="EL30" s="1">
        <v>772.19</v>
      </c>
      <c r="EM30" s="1">
        <v>787.04</v>
      </c>
      <c r="EN30" s="1">
        <v>779.67</v>
      </c>
      <c r="EO30" s="1">
        <v>782.38</v>
      </c>
      <c r="EP30" s="1">
        <v>792.16</v>
      </c>
      <c r="EQ30" s="1">
        <v>793.53</v>
      </c>
      <c r="ER30" s="1">
        <v>803.17</v>
      </c>
      <c r="ES30" s="1">
        <v>783.65</v>
      </c>
      <c r="ET30" s="1">
        <v>778.97</v>
      </c>
      <c r="EU30" s="1">
        <v>754.91</v>
      </c>
      <c r="EV30" s="1">
        <v>780.28</v>
      </c>
      <c r="EW30" s="1">
        <v>785.51</v>
      </c>
      <c r="EX30" s="1">
        <v>766.63</v>
      </c>
      <c r="EY30" s="1">
        <v>775.06</v>
      </c>
      <c r="EZ30" s="1">
        <v>759.18</v>
      </c>
      <c r="FA30" s="1">
        <v>755.02</v>
      </c>
      <c r="FB30" s="1">
        <v>741.45</v>
      </c>
      <c r="FC30" s="1">
        <v>749.44</v>
      </c>
      <c r="FD30" s="1">
        <v>751.13</v>
      </c>
      <c r="FE30" s="1">
        <v>771.25</v>
      </c>
      <c r="FF30" s="1">
        <v>762.65</v>
      </c>
      <c r="FG30" s="1">
        <v>753.55</v>
      </c>
      <c r="FH30" s="1">
        <v>755.51</v>
      </c>
      <c r="FI30" s="1">
        <v>749.33</v>
      </c>
      <c r="FJ30" s="1">
        <v>733.78</v>
      </c>
      <c r="FK30" s="1">
        <v>733.04</v>
      </c>
      <c r="FL30" s="1">
        <v>741.92</v>
      </c>
      <c r="FM30" s="1">
        <v>754.14</v>
      </c>
      <c r="FN30" s="1">
        <v>758.91</v>
      </c>
      <c r="FO30" s="1">
        <v>768</v>
      </c>
      <c r="FP30" s="1">
        <v>796.55</v>
      </c>
      <c r="FQ30" s="1">
        <v>801.01</v>
      </c>
      <c r="FR30" s="1">
        <v>812.27</v>
      </c>
      <c r="FS30" s="1">
        <v>776.54</v>
      </c>
      <c r="FT30" s="1">
        <v>763.23</v>
      </c>
      <c r="FU30" s="1">
        <v>776.31</v>
      </c>
      <c r="FV30" s="1">
        <v>771.87</v>
      </c>
      <c r="FW30" s="1">
        <v>773.94</v>
      </c>
      <c r="FX30" s="1">
        <v>780.5</v>
      </c>
      <c r="FY30" s="1">
        <v>784.97</v>
      </c>
      <c r="FZ30" s="1">
        <v>783.71</v>
      </c>
      <c r="GA30" s="1">
        <v>785.17</v>
      </c>
      <c r="GB30" s="1">
        <v>779.36</v>
      </c>
      <c r="GC30" s="1">
        <v>767.96</v>
      </c>
      <c r="GD30" s="1">
        <v>748.71</v>
      </c>
      <c r="GE30" s="1">
        <v>749.79</v>
      </c>
      <c r="GF30" s="1">
        <v>746.36</v>
      </c>
      <c r="GG30" s="1">
        <v>752.62</v>
      </c>
      <c r="GH30" s="1">
        <v>741.29</v>
      </c>
      <c r="GI30" s="1">
        <v>746.8</v>
      </c>
      <c r="GJ30" s="1">
        <v>726.21</v>
      </c>
      <c r="GK30" s="1">
        <v>692.58</v>
      </c>
      <c r="GL30" s="1">
        <v>703.26</v>
      </c>
      <c r="GM30" s="1">
        <v>718.36</v>
      </c>
      <c r="GN30" s="1">
        <v>722.8</v>
      </c>
      <c r="GO30" s="1">
        <v>723.67</v>
      </c>
      <c r="GP30" s="1">
        <v>742</v>
      </c>
      <c r="GQ30" s="1">
        <v>750.11</v>
      </c>
      <c r="GR30" s="1">
        <v>780.19</v>
      </c>
      <c r="GS30" s="1">
        <v>784.61</v>
      </c>
      <c r="GT30" s="1">
        <v>787.32</v>
      </c>
      <c r="GU30" s="1">
        <v>761.45</v>
      </c>
      <c r="GV30" s="1">
        <v>755.9</v>
      </c>
      <c r="GW30" s="1">
        <v>737</v>
      </c>
      <c r="GX30" s="1">
        <v>702.75</v>
      </c>
      <c r="GY30" s="1">
        <v>725.34</v>
      </c>
      <c r="GZ30" s="1">
        <v>704.31</v>
      </c>
      <c r="HA30" s="1">
        <v>693.5</v>
      </c>
      <c r="HB30" s="1">
        <v>694.99</v>
      </c>
      <c r="HC30" s="1">
        <v>681.72</v>
      </c>
      <c r="HD30" s="1">
        <v>674.55</v>
      </c>
      <c r="HE30" s="1">
        <v>654.74</v>
      </c>
      <c r="HF30" s="1">
        <v>657.53</v>
      </c>
      <c r="HG30" s="1">
        <v>646.87</v>
      </c>
      <c r="HH30" s="1">
        <v>644.19000000000005</v>
      </c>
      <c r="HI30" s="1">
        <v>628</v>
      </c>
      <c r="HJ30" s="1">
        <v>642.25</v>
      </c>
      <c r="HK30" s="1">
        <v>651.79999999999995</v>
      </c>
      <c r="HL30" s="1">
        <v>654.04</v>
      </c>
      <c r="HM30" s="1">
        <v>652.91</v>
      </c>
      <c r="HN30" s="1">
        <v>654.48</v>
      </c>
      <c r="HO30" s="1">
        <v>585.30999999999995</v>
      </c>
      <c r="HP30" s="1">
        <v>577.95000000000005</v>
      </c>
      <c r="HQ30" s="1">
        <v>575.69000000000005</v>
      </c>
      <c r="HR30" s="1">
        <v>584.74</v>
      </c>
      <c r="HS30" s="1">
        <v>579.34</v>
      </c>
      <c r="HT30" s="1">
        <v>576.77</v>
      </c>
      <c r="HU30" s="1">
        <v>578.04999999999995</v>
      </c>
      <c r="HV30" s="1">
        <v>569.16999999999996</v>
      </c>
      <c r="HW30" s="1">
        <v>576.41999999999996</v>
      </c>
      <c r="HX30" s="1">
        <v>572.6</v>
      </c>
      <c r="HY30" s="1">
        <v>557.73</v>
      </c>
      <c r="HZ30" s="1">
        <v>564.63</v>
      </c>
      <c r="IA30" s="1">
        <v>569.9</v>
      </c>
      <c r="IB30" s="1">
        <v>563.86</v>
      </c>
      <c r="IC30" s="1">
        <v>583.24</v>
      </c>
      <c r="ID30" s="1">
        <v>585.48</v>
      </c>
      <c r="IE30" s="1">
        <v>600</v>
      </c>
      <c r="IF30" s="1">
        <v>600</v>
      </c>
      <c r="IG30" s="1">
        <v>599.94000000000005</v>
      </c>
      <c r="IH30" s="1">
        <v>562.27</v>
      </c>
      <c r="II30" s="1">
        <v>560.75</v>
      </c>
      <c r="IJ30" s="1">
        <v>563.9</v>
      </c>
      <c r="IK30" s="1">
        <v>555.51</v>
      </c>
      <c r="IL30" s="1">
        <v>576.98</v>
      </c>
      <c r="IM30" s="1">
        <v>567.89</v>
      </c>
      <c r="IN30" s="1">
        <v>595.67999999999995</v>
      </c>
      <c r="IO30" s="1">
        <v>591.99</v>
      </c>
      <c r="IP30" s="1">
        <v>598.71</v>
      </c>
      <c r="IQ30" s="1">
        <v>585.5</v>
      </c>
      <c r="IR30" s="1">
        <v>575.05999999999995</v>
      </c>
      <c r="IS30" s="1">
        <v>572.59</v>
      </c>
      <c r="IT30" s="1">
        <v>560</v>
      </c>
      <c r="IU30" s="1">
        <v>568.20000000000005</v>
      </c>
      <c r="IV30" s="1">
        <v>555.83000000000004</v>
      </c>
      <c r="IW30" s="1">
        <v>556.53</v>
      </c>
      <c r="IX30" s="1">
        <v>558.44000000000005</v>
      </c>
      <c r="IY30" s="1">
        <v>573.38</v>
      </c>
      <c r="IZ30" s="1">
        <v>567.22</v>
      </c>
      <c r="JA30" s="1">
        <v>563.79999999999995</v>
      </c>
      <c r="JB30" s="1">
        <v>577.9</v>
      </c>
      <c r="JC30" s="1">
        <v>580.70000000000005</v>
      </c>
      <c r="JD30" s="1">
        <v>579.61</v>
      </c>
      <c r="JE30" s="1">
        <v>586.96</v>
      </c>
      <c r="JF30" s="1">
        <v>587.65</v>
      </c>
      <c r="JG30" s="1">
        <v>572.38</v>
      </c>
      <c r="JH30" s="1">
        <v>589.48</v>
      </c>
      <c r="JI30" s="1">
        <v>598.16</v>
      </c>
      <c r="JJ30" s="1">
        <v>591.01</v>
      </c>
      <c r="JK30" s="1">
        <v>571.78</v>
      </c>
      <c r="JL30" s="1">
        <v>573.91</v>
      </c>
      <c r="JM30" s="1">
        <v>580.41</v>
      </c>
      <c r="JN30" s="1">
        <v>565.97</v>
      </c>
      <c r="JO30" s="1">
        <v>561.54999999999995</v>
      </c>
      <c r="JP30" s="1">
        <v>556.55499999999995</v>
      </c>
      <c r="JQ30" s="1">
        <v>545.94000000000005</v>
      </c>
      <c r="JR30" s="1">
        <v>563</v>
      </c>
      <c r="JS30" s="1">
        <v>559.79999999999995</v>
      </c>
      <c r="JT30" s="1">
        <v>555.13</v>
      </c>
      <c r="JU30" s="1">
        <v>569.9</v>
      </c>
      <c r="JV30" s="1">
        <v>571.54</v>
      </c>
      <c r="JW30" s="1">
        <v>558.87</v>
      </c>
      <c r="JX30" s="1">
        <v>545.46</v>
      </c>
      <c r="JY30" s="1">
        <v>554.58000000000004</v>
      </c>
      <c r="JZ30" s="1">
        <v>558.14499999999998</v>
      </c>
      <c r="KA30" s="1">
        <v>558.63</v>
      </c>
      <c r="KB30" s="1">
        <v>563.1</v>
      </c>
      <c r="KC30" s="1">
        <v>564.64</v>
      </c>
      <c r="KD30" s="1">
        <v>572.39</v>
      </c>
      <c r="KE30" s="1">
        <v>560.92999999999995</v>
      </c>
      <c r="KF30" s="1">
        <v>545.53</v>
      </c>
      <c r="KG30" s="1">
        <v>542.52</v>
      </c>
      <c r="KH30" s="1">
        <v>550</v>
      </c>
      <c r="KI30" s="1">
        <v>547.92999999999995</v>
      </c>
      <c r="KJ30" s="1">
        <v>547.96</v>
      </c>
      <c r="KK30" s="1">
        <v>570.59</v>
      </c>
      <c r="KL30" s="1">
        <v>567.74</v>
      </c>
      <c r="KM30" s="1">
        <v>559.76</v>
      </c>
      <c r="KN30" s="1">
        <v>552.58000000000004</v>
      </c>
      <c r="KO30" s="1">
        <v>547.75</v>
      </c>
      <c r="KP30" s="1">
        <v>538.11</v>
      </c>
      <c r="KQ30" s="1">
        <v>547.36</v>
      </c>
      <c r="KR30" s="1">
        <v>547.74</v>
      </c>
      <c r="KS30" s="1">
        <v>534.91</v>
      </c>
      <c r="KT30" s="1">
        <v>525</v>
      </c>
    </row>
    <row r="31" spans="1:306" x14ac:dyDescent="0.25">
      <c r="A31" t="s">
        <v>330</v>
      </c>
      <c r="B31"/>
      <c r="C31"/>
      <c r="D31" s="1">
        <f t="shared" si="66"/>
        <v>21</v>
      </c>
      <c r="E31" s="13" t="s">
        <v>261</v>
      </c>
      <c r="F31" t="s">
        <v>262</v>
      </c>
      <c r="G31" s="17">
        <v>1990.5</v>
      </c>
      <c r="H31" s="6">
        <f>+G31*L31/INR</f>
        <v>57846.268927922472</v>
      </c>
      <c r="I31" s="6">
        <f>([22]Main!$J$5-[22]Main!$J$6)/INR</f>
        <v>3484.4906117504547</v>
      </c>
      <c r="J31" s="6">
        <f>H31-I31</f>
        <v>54361.778316172014</v>
      </c>
      <c r="K31" s="3" t="s">
        <v>2007</v>
      </c>
      <c r="L31" s="6">
        <f>+[22]Main!$J$3</f>
        <v>2399</v>
      </c>
      <c r="M31" s="9">
        <v>46230</v>
      </c>
      <c r="AL31" s="1">
        <v>1983</v>
      </c>
      <c r="AN31" t="s">
        <v>2054</v>
      </c>
    </row>
    <row r="32" spans="1:306" x14ac:dyDescent="0.25">
      <c r="A32" t="s">
        <v>330</v>
      </c>
      <c r="D32" s="1">
        <f t="shared" si="66"/>
        <v>22</v>
      </c>
      <c r="E32" s="13" t="s">
        <v>91</v>
      </c>
      <c r="F32" s="1" t="s">
        <v>92</v>
      </c>
      <c r="G32" s="7">
        <v>34.590000000000003</v>
      </c>
      <c r="H32" s="6">
        <f>+G32*L32</f>
        <v>41196.69</v>
      </c>
      <c r="I32" s="6">
        <f>+[23]Main!$M$5-[23]Main!$M$6</f>
        <v>-12938</v>
      </c>
      <c r="J32" s="6">
        <f>+H32-I32</f>
        <v>54134.69</v>
      </c>
      <c r="K32" s="3" t="s">
        <v>2079</v>
      </c>
      <c r="L32" s="6">
        <f>+[23]Main!$M$3</f>
        <v>1191</v>
      </c>
      <c r="M32" s="9">
        <v>46232</v>
      </c>
      <c r="AN32" t="s">
        <v>2057</v>
      </c>
    </row>
    <row r="33" spans="1:306" x14ac:dyDescent="0.25">
      <c r="A33" t="s">
        <v>330</v>
      </c>
      <c r="B33"/>
      <c r="C33"/>
      <c r="D33" s="1">
        <f t="shared" si="66"/>
        <v>23</v>
      </c>
      <c r="E33" s="5" t="s">
        <v>1823</v>
      </c>
      <c r="F33" t="s">
        <v>1824</v>
      </c>
      <c r="G33" s="14">
        <v>175.75</v>
      </c>
      <c r="H33" s="6">
        <f>+G33*L33/CHF</f>
        <v>50201.616735941323</v>
      </c>
      <c r="I33" s="6">
        <f>([24]Main!$J$5-[24]Main!$J$6)</f>
        <v>-1876</v>
      </c>
      <c r="J33" s="6">
        <f>+H33-I33</f>
        <v>52077.616735941323</v>
      </c>
      <c r="K33" s="3" t="s">
        <v>2079</v>
      </c>
      <c r="L33" s="6">
        <f>+[24]Main!$J$3</f>
        <v>233.65531999999999</v>
      </c>
      <c r="M33" s="9">
        <v>46232</v>
      </c>
      <c r="AN33" s="1" t="s">
        <v>2049</v>
      </c>
    </row>
    <row r="34" spans="1:306" x14ac:dyDescent="0.25">
      <c r="A34" t="s">
        <v>330</v>
      </c>
      <c r="B34"/>
      <c r="C34"/>
      <c r="D34" s="1">
        <f t="shared" si="66"/>
        <v>24</v>
      </c>
      <c r="E34" s="13" t="s">
        <v>61</v>
      </c>
      <c r="F34" s="1" t="s">
        <v>62</v>
      </c>
      <c r="G34" s="7">
        <v>853.82</v>
      </c>
      <c r="H34" s="6">
        <f>+G34*L34</f>
        <v>54994.109044160003</v>
      </c>
      <c r="I34" s="6">
        <f>+[25]Main!$K$5-[25]Main!$K$6</f>
        <v>5187</v>
      </c>
      <c r="J34" s="6">
        <f>H34-I34</f>
        <v>49807.109044160003</v>
      </c>
      <c r="K34" s="3" t="s">
        <v>2079</v>
      </c>
      <c r="L34" s="6">
        <f>+[25]Main!$K$3</f>
        <v>64.409487999999996</v>
      </c>
      <c r="M34" s="9">
        <v>46232</v>
      </c>
      <c r="AL34">
        <v>2008</v>
      </c>
      <c r="AN34" t="s">
        <v>2056</v>
      </c>
      <c r="AO34" s="10">
        <f>BD34/FV34-1</f>
        <v>5.497354182769465E-2</v>
      </c>
      <c r="AP34" s="10">
        <f>BD34/BX34-1</f>
        <v>6.1232789865907522E-2</v>
      </c>
      <c r="AQ34" s="10">
        <f>BD34/CA34-1</f>
        <v>9.7411031258117564E-2</v>
      </c>
      <c r="AR34" s="122">
        <f>BD34/KT34-1</f>
        <v>0.60948441638547202</v>
      </c>
      <c r="BD34" s="1">
        <v>887.18</v>
      </c>
      <c r="BE34" s="1">
        <v>888.65</v>
      </c>
      <c r="BF34" s="1">
        <v>852.5</v>
      </c>
      <c r="BG34" s="1">
        <v>853.4</v>
      </c>
      <c r="BH34" s="1">
        <v>903.75</v>
      </c>
      <c r="BJ34" s="1">
        <v>877.72</v>
      </c>
      <c r="BK34" s="1">
        <v>892.26</v>
      </c>
      <c r="BL34" s="1">
        <v>878.49</v>
      </c>
      <c r="BM34" s="1">
        <v>884.2</v>
      </c>
      <c r="BN34" s="1">
        <v>893.52</v>
      </c>
      <c r="BO34" s="1">
        <v>898.94</v>
      </c>
      <c r="BP34" s="1">
        <v>862.18</v>
      </c>
      <c r="BQ34" s="1">
        <v>884</v>
      </c>
      <c r="BR34" s="1">
        <v>882.41</v>
      </c>
      <c r="BS34" s="1">
        <v>891.32</v>
      </c>
      <c r="BT34" s="1">
        <v>842.27</v>
      </c>
      <c r="BU34" s="1">
        <v>813.14</v>
      </c>
      <c r="BV34" s="1">
        <v>802.17</v>
      </c>
      <c r="BW34" s="1">
        <v>836.09</v>
      </c>
      <c r="BX34" s="1">
        <v>835.99</v>
      </c>
      <c r="BY34" s="1">
        <v>838.49</v>
      </c>
      <c r="BZ34" s="1">
        <v>820.63</v>
      </c>
      <c r="CA34" s="1">
        <v>808.43</v>
      </c>
      <c r="CB34" s="1">
        <v>806.46</v>
      </c>
      <c r="CC34" s="1">
        <v>816.22</v>
      </c>
      <c r="CD34" s="1">
        <v>804.25</v>
      </c>
      <c r="CE34" s="1">
        <v>797.77</v>
      </c>
      <c r="CF34" s="1">
        <v>776.26</v>
      </c>
      <c r="CG34" s="1">
        <v>799.32</v>
      </c>
      <c r="CH34" s="1">
        <v>822.13</v>
      </c>
      <c r="CI34" s="1">
        <v>802.7</v>
      </c>
      <c r="CJ34" s="1">
        <v>812.81</v>
      </c>
      <c r="CK34" s="1">
        <v>813.28</v>
      </c>
      <c r="CL34" s="1">
        <v>782.17</v>
      </c>
      <c r="CM34" s="1">
        <v>787.31</v>
      </c>
      <c r="CN34" s="1">
        <v>807.55</v>
      </c>
      <c r="CO34" s="1">
        <v>794.7</v>
      </c>
      <c r="CP34" s="1">
        <v>811.09</v>
      </c>
      <c r="CQ34" s="1">
        <v>783.5</v>
      </c>
      <c r="CR34" s="1">
        <v>781.72</v>
      </c>
      <c r="CS34" s="1">
        <v>776.02</v>
      </c>
      <c r="CT34" s="1">
        <v>775.03</v>
      </c>
      <c r="CU34" s="1">
        <v>783.74</v>
      </c>
      <c r="CV34" s="1">
        <v>780.25</v>
      </c>
      <c r="CW34" s="1">
        <v>787.95</v>
      </c>
      <c r="CX34" s="1">
        <v>793.22</v>
      </c>
      <c r="CY34" s="1">
        <v>805.38</v>
      </c>
      <c r="CZ34" s="1">
        <v>834.45</v>
      </c>
      <c r="DA34" s="1">
        <v>849.04</v>
      </c>
      <c r="DB34" s="1">
        <v>828.35</v>
      </c>
      <c r="DC34" s="1">
        <v>840.87</v>
      </c>
      <c r="DD34" s="1">
        <v>828.35</v>
      </c>
      <c r="DE34" s="1">
        <v>809.27</v>
      </c>
      <c r="DF34" s="1">
        <v>799.65</v>
      </c>
      <c r="DG34" s="1">
        <v>800.5</v>
      </c>
      <c r="DH34" s="1">
        <v>785.07</v>
      </c>
      <c r="DI34" s="1">
        <v>765.43</v>
      </c>
      <c r="DJ34" s="1">
        <v>748.25</v>
      </c>
      <c r="DK34" s="1">
        <v>746.42</v>
      </c>
      <c r="DL34" s="1">
        <v>743.12</v>
      </c>
      <c r="DM34" s="1">
        <v>730.25</v>
      </c>
      <c r="DN34" s="1">
        <v>704.31</v>
      </c>
      <c r="DO34" s="1">
        <v>691.4</v>
      </c>
      <c r="DP34" s="1">
        <v>692.83</v>
      </c>
      <c r="DQ34" s="1">
        <v>697.05</v>
      </c>
      <c r="DR34" s="1">
        <v>677.5</v>
      </c>
      <c r="DS34" s="1">
        <v>681.85</v>
      </c>
      <c r="DT34" s="1">
        <v>663.93</v>
      </c>
      <c r="DU34" s="1">
        <v>684.5</v>
      </c>
      <c r="DV34" s="1">
        <v>684.77</v>
      </c>
      <c r="DW34" s="1">
        <v>706.03</v>
      </c>
      <c r="DX34" s="1">
        <v>703.3</v>
      </c>
      <c r="DY34" s="1">
        <v>700.45</v>
      </c>
      <c r="DZ34" s="1">
        <v>708.85</v>
      </c>
      <c r="EA34" s="1">
        <v>728.09</v>
      </c>
      <c r="EB34" s="1">
        <v>742.79</v>
      </c>
      <c r="EC34" s="1">
        <v>740.4</v>
      </c>
      <c r="ED34" s="1">
        <v>717.8</v>
      </c>
      <c r="EE34" s="1">
        <v>728.11</v>
      </c>
      <c r="EF34" s="1">
        <v>749.56</v>
      </c>
      <c r="EG34" s="1">
        <v>748.72</v>
      </c>
      <c r="EH34" s="1">
        <v>756.76</v>
      </c>
      <c r="EI34" s="1">
        <v>766.92</v>
      </c>
      <c r="EJ34" s="1">
        <v>771.53</v>
      </c>
      <c r="EK34" s="1">
        <v>816.95</v>
      </c>
      <c r="EL34" s="1">
        <v>840.28</v>
      </c>
      <c r="EM34" s="1">
        <v>826.25</v>
      </c>
      <c r="EN34" s="1">
        <v>844.41</v>
      </c>
      <c r="EO34" s="1">
        <v>847.26</v>
      </c>
      <c r="EP34" s="1">
        <v>845.35</v>
      </c>
      <c r="EQ34" s="1">
        <v>843.55</v>
      </c>
      <c r="ER34" s="1">
        <v>821.96</v>
      </c>
      <c r="ES34" s="1">
        <v>833.54</v>
      </c>
      <c r="ET34" s="1">
        <v>834.55</v>
      </c>
      <c r="EU34" s="1">
        <v>833.16</v>
      </c>
      <c r="EV34" s="1">
        <v>828.24</v>
      </c>
      <c r="EW34" s="1">
        <v>811.45</v>
      </c>
      <c r="EX34" s="1">
        <v>820.31</v>
      </c>
      <c r="EY34" s="1">
        <v>850.87</v>
      </c>
      <c r="EZ34" s="1">
        <v>851.72</v>
      </c>
      <c r="FA34" s="1">
        <v>835.68</v>
      </c>
      <c r="FB34" s="1">
        <v>840.5</v>
      </c>
      <c r="FC34" s="1">
        <v>847.72</v>
      </c>
      <c r="FD34" s="1">
        <v>846.755</v>
      </c>
      <c r="FE34" s="1">
        <v>864.42</v>
      </c>
      <c r="FF34" s="1">
        <v>833.16</v>
      </c>
      <c r="FG34" s="1">
        <v>814.74</v>
      </c>
      <c r="FH34" s="1">
        <v>827.02</v>
      </c>
      <c r="FI34" s="1">
        <v>816.37</v>
      </c>
      <c r="FJ34" s="1">
        <v>809.64</v>
      </c>
      <c r="FK34" s="1">
        <v>800.01</v>
      </c>
      <c r="FL34" s="1">
        <v>813.24</v>
      </c>
      <c r="FM34" s="1">
        <v>799.33</v>
      </c>
      <c r="FN34" s="1">
        <v>810.51</v>
      </c>
      <c r="FO34" s="1">
        <v>796</v>
      </c>
      <c r="FP34" s="1">
        <v>788.49</v>
      </c>
      <c r="FQ34" s="1">
        <v>795.57</v>
      </c>
      <c r="FR34" s="1">
        <v>822.94</v>
      </c>
      <c r="FS34" s="1">
        <v>803.74</v>
      </c>
      <c r="FT34" s="1">
        <v>800.88</v>
      </c>
      <c r="FU34" s="1">
        <v>839.99</v>
      </c>
      <c r="FV34" s="1">
        <v>840.95</v>
      </c>
      <c r="FW34" s="1">
        <v>837.9</v>
      </c>
      <c r="FX34" s="1">
        <v>837.45</v>
      </c>
      <c r="FY34" s="1">
        <v>844.92</v>
      </c>
      <c r="FZ34" s="1">
        <v>849.95</v>
      </c>
      <c r="GA34" s="1">
        <v>845.95</v>
      </c>
      <c r="GB34" s="1">
        <v>852.04</v>
      </c>
      <c r="GC34" s="1">
        <v>854.99</v>
      </c>
      <c r="GD34" s="1">
        <v>847.05</v>
      </c>
      <c r="GE34" s="1">
        <v>862.05</v>
      </c>
      <c r="GF34" s="1">
        <v>851.42</v>
      </c>
      <c r="GG34" s="1">
        <v>850.95</v>
      </c>
      <c r="GH34" s="1">
        <v>877.94</v>
      </c>
      <c r="GI34" s="1">
        <v>889.49</v>
      </c>
      <c r="GJ34" s="1">
        <v>890.11</v>
      </c>
      <c r="GK34" s="1">
        <v>889.41</v>
      </c>
      <c r="GL34" s="1">
        <v>900.76</v>
      </c>
      <c r="GM34" s="1">
        <v>901.17</v>
      </c>
      <c r="GN34" s="1">
        <v>915.97</v>
      </c>
      <c r="GO34" s="1">
        <v>921.8</v>
      </c>
      <c r="GP34" s="1">
        <v>915.36</v>
      </c>
      <c r="GQ34" s="1">
        <v>894.9</v>
      </c>
      <c r="GR34" s="1">
        <v>911.98</v>
      </c>
      <c r="GS34" s="1">
        <v>917.63</v>
      </c>
      <c r="GT34" s="1">
        <v>917.93</v>
      </c>
      <c r="GU34" s="1">
        <v>906.74</v>
      </c>
      <c r="GV34" s="1">
        <v>918.92</v>
      </c>
      <c r="GW34" s="1">
        <v>918.5</v>
      </c>
      <c r="GX34" s="1">
        <v>914.59</v>
      </c>
      <c r="GY34" s="1">
        <v>918.53</v>
      </c>
      <c r="GZ34" s="1">
        <v>929.61</v>
      </c>
      <c r="HA34" s="1">
        <v>907.98</v>
      </c>
      <c r="HB34" s="1">
        <v>891.73</v>
      </c>
      <c r="HC34" s="1">
        <v>889.89</v>
      </c>
      <c r="HD34" s="1">
        <v>889.64</v>
      </c>
      <c r="HE34" s="1">
        <v>869.83</v>
      </c>
      <c r="HF34" s="1">
        <v>854.65</v>
      </c>
      <c r="HG34" s="1">
        <v>851.01499999999999</v>
      </c>
      <c r="HH34" s="1">
        <v>832.35</v>
      </c>
      <c r="HI34" s="1">
        <v>831.48</v>
      </c>
      <c r="HJ34" s="1">
        <v>826.28</v>
      </c>
      <c r="HK34" s="1">
        <v>818.5</v>
      </c>
      <c r="HL34" s="1">
        <v>820.36</v>
      </c>
      <c r="HM34" s="1">
        <v>821.97</v>
      </c>
      <c r="HN34" s="1">
        <v>836.39</v>
      </c>
      <c r="HO34" s="1">
        <v>829.83</v>
      </c>
      <c r="HP34" s="1">
        <v>817.32</v>
      </c>
      <c r="HQ34" s="1">
        <v>812.18</v>
      </c>
      <c r="HR34" s="1">
        <v>814.17</v>
      </c>
      <c r="HS34" s="1">
        <v>834.75</v>
      </c>
      <c r="HT34" s="1">
        <v>849.46</v>
      </c>
      <c r="HU34" s="1">
        <v>843.66</v>
      </c>
      <c r="HV34" s="1">
        <v>837.28</v>
      </c>
      <c r="HW34" s="1">
        <v>815.61</v>
      </c>
      <c r="HX34" s="1">
        <v>812.95</v>
      </c>
      <c r="HY34" s="1">
        <v>799.56</v>
      </c>
      <c r="HZ34" s="1">
        <v>796.92</v>
      </c>
      <c r="IA34" s="1">
        <v>804.9</v>
      </c>
      <c r="IB34" s="1">
        <v>798.94</v>
      </c>
      <c r="IC34" s="1">
        <v>797.35</v>
      </c>
      <c r="ID34" s="1">
        <v>787.94</v>
      </c>
      <c r="IE34" s="1">
        <v>800</v>
      </c>
      <c r="IF34" s="1">
        <v>791.59</v>
      </c>
      <c r="IG34" s="1">
        <v>767.33</v>
      </c>
      <c r="IH34" s="1">
        <v>737.56</v>
      </c>
      <c r="II34" s="1">
        <v>719.04</v>
      </c>
      <c r="IJ34" s="1">
        <v>711.62</v>
      </c>
      <c r="IK34" s="1">
        <v>711.09</v>
      </c>
      <c r="IL34" s="1">
        <v>729.76</v>
      </c>
      <c r="IM34" s="1">
        <v>734.39</v>
      </c>
      <c r="IN34" s="1">
        <v>740.03</v>
      </c>
      <c r="IO34" s="1">
        <v>736.76</v>
      </c>
      <c r="IP34" s="1">
        <v>731.77</v>
      </c>
      <c r="IQ34" s="1">
        <v>734.35</v>
      </c>
      <c r="IR34" s="1">
        <v>752.32</v>
      </c>
      <c r="IS34" s="1">
        <v>756.83</v>
      </c>
      <c r="IT34" s="1">
        <v>756.38</v>
      </c>
      <c r="IU34" s="1">
        <v>763.52</v>
      </c>
      <c r="IV34" s="1">
        <v>762.89</v>
      </c>
      <c r="IW34" s="1">
        <v>767</v>
      </c>
      <c r="IX34" s="1">
        <v>768</v>
      </c>
      <c r="IY34" s="1">
        <v>750.78</v>
      </c>
      <c r="IZ34" s="1">
        <v>733.66</v>
      </c>
      <c r="JA34" s="1">
        <v>722.01</v>
      </c>
      <c r="JB34" s="1">
        <v>706.41</v>
      </c>
      <c r="JC34" s="1">
        <v>712.2</v>
      </c>
      <c r="JD34" s="1">
        <v>704.07</v>
      </c>
      <c r="JE34" s="1">
        <v>707.96</v>
      </c>
      <c r="JF34" s="1">
        <v>708.09</v>
      </c>
      <c r="JG34" s="1">
        <v>677.32</v>
      </c>
      <c r="JH34" s="1">
        <v>660</v>
      </c>
      <c r="JI34" s="1">
        <v>663.73</v>
      </c>
      <c r="JJ34" s="1">
        <v>660.97</v>
      </c>
      <c r="JK34" s="1">
        <v>656.89</v>
      </c>
      <c r="JL34" s="1">
        <v>661.32</v>
      </c>
      <c r="JM34" s="1">
        <v>653.83000000000004</v>
      </c>
      <c r="JN34" s="1">
        <v>652.42999999999995</v>
      </c>
      <c r="JO34" s="1">
        <v>646.6</v>
      </c>
      <c r="JP34" s="1">
        <v>637.55999999999995</v>
      </c>
      <c r="JQ34" s="1">
        <v>638.9</v>
      </c>
      <c r="JR34" s="1">
        <v>661.83</v>
      </c>
      <c r="JS34" s="1">
        <v>672.35</v>
      </c>
      <c r="JT34" s="1">
        <v>673.15</v>
      </c>
      <c r="JU34" s="1">
        <v>674.9</v>
      </c>
      <c r="JV34" s="1">
        <v>690.32</v>
      </c>
      <c r="JW34" s="1">
        <v>673.8</v>
      </c>
      <c r="JX34" s="1">
        <v>670.33</v>
      </c>
      <c r="JY34" s="1">
        <v>598.89</v>
      </c>
      <c r="JZ34" s="1">
        <v>598.79</v>
      </c>
      <c r="KA34" s="1">
        <v>595.19000000000005</v>
      </c>
      <c r="KB34" s="1">
        <v>591.99</v>
      </c>
      <c r="KC34" s="1">
        <v>591.74</v>
      </c>
      <c r="KD34" s="1">
        <v>575.41999999999996</v>
      </c>
      <c r="KE34" s="1">
        <v>571.23</v>
      </c>
      <c r="KF34" s="1">
        <v>566.14</v>
      </c>
      <c r="KG34" s="1">
        <v>564.59</v>
      </c>
      <c r="KH34" s="1">
        <v>572.71</v>
      </c>
      <c r="KI34" s="1">
        <v>577.91999999999996</v>
      </c>
      <c r="KJ34" s="1">
        <v>555.96</v>
      </c>
      <c r="KK34" s="1">
        <v>561.28</v>
      </c>
      <c r="KL34" s="1">
        <v>560.24</v>
      </c>
      <c r="KM34" s="1">
        <v>563.30999999999995</v>
      </c>
      <c r="KN34" s="1">
        <v>555.19000000000005</v>
      </c>
      <c r="KO34" s="1">
        <v>538.64</v>
      </c>
      <c r="KP34" s="1">
        <v>546.04</v>
      </c>
      <c r="KQ34" s="1">
        <v>543.48</v>
      </c>
      <c r="KR34" s="1">
        <v>545.11</v>
      </c>
      <c r="KS34" s="1">
        <v>542.47</v>
      </c>
      <c r="KT34" s="1">
        <v>551.22</v>
      </c>
    </row>
    <row r="35" spans="1:306" x14ac:dyDescent="0.25">
      <c r="A35" t="s">
        <v>330</v>
      </c>
      <c r="B35"/>
      <c r="C35"/>
      <c r="D35" s="1">
        <f t="shared" si="66"/>
        <v>25</v>
      </c>
      <c r="E35" s="13" t="s">
        <v>42</v>
      </c>
      <c r="F35" s="1" t="s">
        <v>417</v>
      </c>
      <c r="G35" s="55">
        <v>123.06</v>
      </c>
      <c r="H35" s="6">
        <f>+G35*L35*AUD</f>
        <v>39870.855465000008</v>
      </c>
      <c r="I35" s="6">
        <f>[26]Main!$J$5-[26]Main!$J$6</f>
        <v>-9118</v>
      </c>
      <c r="J35" s="6">
        <f>H35-I35</f>
        <v>48988.855465000008</v>
      </c>
      <c r="K35" s="3" t="s">
        <v>2004</v>
      </c>
      <c r="L35" s="6">
        <f>+[26]Main!$J$3</f>
        <v>483.57499999999999</v>
      </c>
      <c r="M35" s="9">
        <v>46232</v>
      </c>
      <c r="S35" s="11">
        <f>($J35/$L35)/AB35</f>
        <v>15.120238788994593</v>
      </c>
      <c r="T35" s="11">
        <f>($J35/$L35)/AC35</f>
        <v>11.218781825721349</v>
      </c>
      <c r="U35" s="11">
        <f>($J35/$L35)/AD35</f>
        <v>10.928327927320796</v>
      </c>
      <c r="V35" s="11">
        <f>($J35/$L35)/AE35</f>
        <v>9.5212029968293024</v>
      </c>
      <c r="W35" s="114"/>
      <c r="AB35" s="125">
        <v>6.7</v>
      </c>
      <c r="AC35" s="61">
        <v>9.0299999999999994</v>
      </c>
      <c r="AD35" s="61">
        <v>9.27</v>
      </c>
      <c r="AE35" s="61">
        <v>10.64</v>
      </c>
      <c r="AF35" s="61">
        <v>12.17</v>
      </c>
      <c r="AG35" s="61">
        <v>13.65</v>
      </c>
      <c r="AN35" t="s">
        <v>2051</v>
      </c>
    </row>
    <row r="36" spans="1:306" x14ac:dyDescent="0.25">
      <c r="A36" s="1" t="s">
        <v>330</v>
      </c>
      <c r="B36"/>
      <c r="C36"/>
      <c r="D36" s="1">
        <f t="shared" si="66"/>
        <v>26</v>
      </c>
      <c r="E36" s="13" t="s">
        <v>253</v>
      </c>
      <c r="F36" t="s">
        <v>254</v>
      </c>
      <c r="G36" s="19">
        <v>1485000</v>
      </c>
      <c r="H36" s="6">
        <f>+G36*L36/KRW</f>
        <v>47970.734288206557</v>
      </c>
      <c r="I36" s="6">
        <f>([27]Main!$M$5-[27]Main!$M$6)/KRW*1000</f>
        <v>489.18353105373342</v>
      </c>
      <c r="J36" s="6">
        <f>+H36-I36</f>
        <v>47481.550757152821</v>
      </c>
      <c r="K36" s="3" t="s">
        <v>2007</v>
      </c>
      <c r="L36" s="6">
        <f>+[27]Main!$M$3</f>
        <v>46.290951</v>
      </c>
      <c r="M36" s="9">
        <v>46230</v>
      </c>
      <c r="AN36" t="s">
        <v>2055</v>
      </c>
    </row>
    <row r="37" spans="1:306" x14ac:dyDescent="0.25">
      <c r="A37" t="s">
        <v>330</v>
      </c>
      <c r="D37" s="1">
        <f t="shared" si="66"/>
        <v>27</v>
      </c>
      <c r="E37" s="13" t="s">
        <v>267</v>
      </c>
      <c r="F37" t="s">
        <v>267</v>
      </c>
      <c r="G37" s="14">
        <v>222.9</v>
      </c>
      <c r="H37" s="6">
        <f>+G37*L37*EUR</f>
        <v>47009.61</v>
      </c>
      <c r="I37" s="6">
        <f>([28]Main!$J$5-[28]Main!$J$6)*EUR</f>
        <v>7.7700000000000005</v>
      </c>
      <c r="J37" s="6">
        <f>H37-I37</f>
        <v>47001.840000000004</v>
      </c>
      <c r="K37" s="3" t="s">
        <v>2004</v>
      </c>
      <c r="L37" s="6">
        <f>+[28]Main!$J$3</f>
        <v>190</v>
      </c>
      <c r="M37" s="9">
        <v>46232</v>
      </c>
      <c r="W37" s="114">
        <f>($J37/$L37)/AF37</f>
        <v>21.418017771701983</v>
      </c>
      <c r="X37" s="119">
        <f t="shared" ref="X37" si="75">($J37/$L37)/AG37</f>
        <v>17.965004013301229</v>
      </c>
      <c r="Y37" s="11">
        <f t="shared" ref="Y37" si="76">($J37/$L37)/AH37</f>
        <v>14.911278195488723</v>
      </c>
      <c r="Z37" s="11">
        <f t="shared" ref="Z37" si="77">($J37/$L37)/AI37</f>
        <v>12.338060112875706</v>
      </c>
      <c r="AA37" s="11">
        <f t="shared" ref="AA37" si="78">($J37/$L37)/AJ37</f>
        <v>10.888120830244628</v>
      </c>
      <c r="AB37" s="125">
        <v>2.54</v>
      </c>
      <c r="AC37" s="61">
        <v>2.04</v>
      </c>
      <c r="AD37" s="61">
        <v>3.63</v>
      </c>
      <c r="AE37" s="61">
        <v>8.4499999999999993</v>
      </c>
      <c r="AF37" s="61">
        <v>11.55</v>
      </c>
      <c r="AG37" s="61">
        <v>13.77</v>
      </c>
      <c r="AH37" s="61">
        <v>16.59</v>
      </c>
      <c r="AI37" s="61">
        <v>20.05</v>
      </c>
      <c r="AJ37" s="61">
        <v>22.72</v>
      </c>
      <c r="AK37" s="61">
        <v>25.1</v>
      </c>
      <c r="AN37" t="s">
        <v>2056</v>
      </c>
    </row>
    <row r="38" spans="1:306" x14ac:dyDescent="0.25">
      <c r="A38" t="s">
        <v>330</v>
      </c>
      <c r="B38"/>
      <c r="C38"/>
      <c r="D38" s="1">
        <f t="shared" si="66"/>
        <v>28</v>
      </c>
      <c r="E38" s="13" t="s">
        <v>75</v>
      </c>
      <c r="F38" s="1" t="s">
        <v>76</v>
      </c>
      <c r="G38" s="7">
        <v>55.88</v>
      </c>
      <c r="H38" s="6">
        <f>+G38*L38</f>
        <v>32177.503559520002</v>
      </c>
      <c r="I38" s="6">
        <f>+[29]Main!$L$5-[29]Main!$L$6</f>
        <v>-7546.6609999999991</v>
      </c>
      <c r="J38" s="6">
        <f>+H38-I38</f>
        <v>39724.164559520003</v>
      </c>
      <c r="K38" s="3" t="s">
        <v>2007</v>
      </c>
      <c r="L38" s="6">
        <f>+[29]Main!$L$3</f>
        <v>575.83220400000005</v>
      </c>
      <c r="M38" s="9">
        <v>46235</v>
      </c>
      <c r="W38" s="114">
        <f>($J38/$L38)/AF38</f>
        <v>12.991649690475672</v>
      </c>
      <c r="X38" s="119">
        <f t="shared" ref="X38" si="79">($J38/$L38)/AG38</f>
        <v>14.107496903154564</v>
      </c>
      <c r="Y38" s="11">
        <f t="shared" ref="Y38" si="80">($J38/$L38)/AH38</f>
        <v>12.565693962919092</v>
      </c>
      <c r="Z38" s="11">
        <f t="shared" ref="Z38" si="81">($J38/$L38)/AI38</f>
        <v>13.421334602417474</v>
      </c>
      <c r="AA38" s="11">
        <f t="shared" ref="AA38" si="82">($J38/$L38)/AJ38</f>
        <v>11.752241883547839</v>
      </c>
      <c r="AB38" s="125">
        <v>1.6</v>
      </c>
      <c r="AC38" s="61">
        <v>1.53</v>
      </c>
      <c r="AD38" s="61">
        <v>1.19</v>
      </c>
      <c r="AE38" s="61">
        <v>1.97</v>
      </c>
      <c r="AF38" s="61">
        <v>5.31</v>
      </c>
      <c r="AG38" s="61">
        <v>4.8899999999999997</v>
      </c>
      <c r="AH38" s="61">
        <v>5.49</v>
      </c>
      <c r="AI38" s="61">
        <v>5.14</v>
      </c>
      <c r="AJ38" s="61">
        <v>5.87</v>
      </c>
      <c r="AK38" s="61" t="s">
        <v>1677</v>
      </c>
      <c r="AL38" s="1">
        <v>1996</v>
      </c>
      <c r="AN38" t="s">
        <v>2042</v>
      </c>
      <c r="AO38" s="10">
        <f>BD38/FV38-1</f>
        <v>0.45522774327122151</v>
      </c>
      <c r="AP38" s="10">
        <f>BD38/BX38-1</f>
        <v>8.4289813486368992E-3</v>
      </c>
      <c r="AQ38" s="10">
        <f>BD38/CA38-1</f>
        <v>4.4002970664686281E-2</v>
      </c>
      <c r="AR38" s="122">
        <f>BD38/KT38-1</f>
        <v>0.56064390785456553</v>
      </c>
      <c r="BD38" s="1">
        <v>56.23</v>
      </c>
      <c r="BE38" s="1">
        <v>54.69</v>
      </c>
      <c r="BF38" s="1">
        <v>54.28</v>
      </c>
      <c r="BG38" s="1">
        <v>55.35</v>
      </c>
      <c r="BH38" s="1">
        <v>53.57</v>
      </c>
      <c r="BJ38" s="1">
        <v>52.96</v>
      </c>
      <c r="BK38" s="1">
        <v>53.7</v>
      </c>
      <c r="BL38" s="1">
        <v>54.21</v>
      </c>
      <c r="BM38" s="1">
        <v>54.27</v>
      </c>
      <c r="BN38" s="1">
        <v>54.87</v>
      </c>
      <c r="BO38" s="1">
        <v>55.29</v>
      </c>
      <c r="BP38" s="1">
        <v>54.52</v>
      </c>
      <c r="BQ38" s="1">
        <v>55.63</v>
      </c>
      <c r="BR38" s="1">
        <v>54.86</v>
      </c>
      <c r="BS38" s="1">
        <v>55.87</v>
      </c>
      <c r="BT38" s="1">
        <v>55.02</v>
      </c>
      <c r="BU38" s="1">
        <v>54.97</v>
      </c>
      <c r="BV38" s="1">
        <v>54.01</v>
      </c>
      <c r="BW38" s="1">
        <v>55.18</v>
      </c>
      <c r="BX38" s="1">
        <v>55.76</v>
      </c>
      <c r="BY38" s="1">
        <v>54.48</v>
      </c>
      <c r="BZ38" s="1">
        <v>53.97</v>
      </c>
      <c r="CA38" s="1">
        <v>53.86</v>
      </c>
      <c r="CB38" s="1">
        <v>54.5</v>
      </c>
      <c r="CC38" s="1">
        <v>53.55</v>
      </c>
      <c r="CD38" s="1">
        <v>53.06</v>
      </c>
      <c r="CE38" s="1">
        <v>52.41</v>
      </c>
      <c r="CF38" s="1">
        <v>52.07</v>
      </c>
      <c r="CG38" s="1">
        <v>52.85</v>
      </c>
      <c r="CH38" s="1">
        <v>53.4</v>
      </c>
      <c r="CI38" s="1">
        <v>53.25</v>
      </c>
      <c r="CJ38" s="1">
        <v>51.7</v>
      </c>
      <c r="CK38" s="1">
        <v>51.65</v>
      </c>
      <c r="CL38" s="1">
        <v>50.79</v>
      </c>
      <c r="CM38" s="1">
        <v>50.2</v>
      </c>
      <c r="CN38" s="1">
        <v>50.72</v>
      </c>
      <c r="CO38" s="1">
        <v>50.44</v>
      </c>
      <c r="CP38" s="1">
        <v>50.2</v>
      </c>
      <c r="CQ38" s="1">
        <v>49.47</v>
      </c>
      <c r="CR38" s="1">
        <v>50.09</v>
      </c>
      <c r="CS38" s="1">
        <v>49.49</v>
      </c>
      <c r="CT38" s="1">
        <v>49.54</v>
      </c>
      <c r="CU38" s="1">
        <v>49.65</v>
      </c>
      <c r="CV38" s="1">
        <v>49.38</v>
      </c>
      <c r="CW38" s="1">
        <v>49.64</v>
      </c>
      <c r="CX38" s="1">
        <v>49.72</v>
      </c>
      <c r="CY38" s="1">
        <v>49.48</v>
      </c>
      <c r="CZ38" s="1">
        <v>49.3</v>
      </c>
      <c r="DA38" s="1">
        <v>50</v>
      </c>
      <c r="DB38" s="1">
        <v>48.48</v>
      </c>
      <c r="DC38" s="1">
        <v>48.7</v>
      </c>
      <c r="DD38" s="1">
        <v>48.82</v>
      </c>
      <c r="DE38" s="1">
        <v>48.43</v>
      </c>
      <c r="DF38" s="1">
        <v>47.9</v>
      </c>
      <c r="DG38" s="1">
        <v>48.3</v>
      </c>
      <c r="DH38" s="1">
        <v>47.9</v>
      </c>
      <c r="DI38" s="1">
        <v>46.87</v>
      </c>
      <c r="DJ38" s="1">
        <v>47.32</v>
      </c>
      <c r="DK38" s="1">
        <v>48.57</v>
      </c>
      <c r="DL38" s="1">
        <v>48.49</v>
      </c>
      <c r="DM38" s="1">
        <v>47.97</v>
      </c>
      <c r="DN38" s="1">
        <v>46.37</v>
      </c>
      <c r="DO38" s="1">
        <v>46.35</v>
      </c>
      <c r="DP38" s="1">
        <v>46.94</v>
      </c>
      <c r="DQ38" s="1">
        <v>47.03</v>
      </c>
      <c r="DR38" s="1">
        <v>45.57</v>
      </c>
      <c r="DS38" s="1">
        <v>45.61</v>
      </c>
      <c r="DT38" s="1">
        <v>45.36</v>
      </c>
      <c r="DU38" s="1">
        <v>45.53</v>
      </c>
      <c r="DV38" s="1">
        <v>45.79</v>
      </c>
      <c r="DW38" s="1">
        <v>46.11</v>
      </c>
      <c r="DX38" s="1">
        <v>46.1</v>
      </c>
      <c r="DY38" s="1">
        <v>45.65</v>
      </c>
      <c r="DZ38" s="1">
        <v>45.87</v>
      </c>
      <c r="EA38" s="1">
        <v>46.69</v>
      </c>
      <c r="EB38" s="1">
        <v>45.97</v>
      </c>
      <c r="EC38" s="1">
        <v>45.84</v>
      </c>
      <c r="ED38" s="1">
        <v>45.41</v>
      </c>
      <c r="EE38" s="1">
        <v>45.68</v>
      </c>
      <c r="EF38" s="1">
        <v>47.43</v>
      </c>
      <c r="EG38" s="1">
        <v>47.48</v>
      </c>
      <c r="EH38" s="1">
        <v>47.47</v>
      </c>
      <c r="EI38" s="1">
        <v>46.21</v>
      </c>
      <c r="EJ38" s="1">
        <v>45.36</v>
      </c>
      <c r="EK38" s="1">
        <v>45.15</v>
      </c>
      <c r="EL38" s="1">
        <v>45.4</v>
      </c>
      <c r="EM38" s="1">
        <v>45.47</v>
      </c>
      <c r="EN38" s="1">
        <v>45.12</v>
      </c>
      <c r="EO38" s="1">
        <v>45.11</v>
      </c>
      <c r="EP38" s="1">
        <v>45.34</v>
      </c>
      <c r="EQ38" s="1">
        <v>45.41</v>
      </c>
      <c r="ER38" s="1">
        <v>45.19</v>
      </c>
      <c r="ES38" s="1">
        <v>44.8</v>
      </c>
      <c r="ET38" s="1">
        <v>44.25</v>
      </c>
      <c r="EU38" s="1">
        <v>44.21</v>
      </c>
      <c r="EV38" s="1">
        <v>44.05</v>
      </c>
      <c r="EW38" s="1">
        <v>44.65</v>
      </c>
      <c r="EX38" s="1">
        <v>44.1</v>
      </c>
      <c r="EY38" s="1">
        <v>43.68</v>
      </c>
      <c r="EZ38" s="1">
        <v>42.97</v>
      </c>
      <c r="FA38" s="1">
        <v>42.36</v>
      </c>
      <c r="FB38" s="1">
        <v>41.68</v>
      </c>
      <c r="FC38" s="1">
        <v>40.86</v>
      </c>
      <c r="FD38" s="1">
        <v>40.409999999999997</v>
      </c>
      <c r="FE38" s="1">
        <v>40.74</v>
      </c>
      <c r="FF38" s="1">
        <v>40.47</v>
      </c>
      <c r="FG38" s="1">
        <v>40.4</v>
      </c>
      <c r="FH38" s="1">
        <v>40.11</v>
      </c>
      <c r="FI38" s="1">
        <v>39.72</v>
      </c>
      <c r="FJ38" s="1">
        <v>39.090000000000003</v>
      </c>
      <c r="FK38" s="1">
        <v>39.549999999999997</v>
      </c>
      <c r="FL38" s="1">
        <v>39.72</v>
      </c>
      <c r="FM38" s="1">
        <v>40.21</v>
      </c>
      <c r="FN38" s="1">
        <v>40.36</v>
      </c>
      <c r="FO38" s="1">
        <v>40.26</v>
      </c>
      <c r="FP38" s="1">
        <v>40.17</v>
      </c>
      <c r="FQ38" s="1">
        <v>40.26</v>
      </c>
      <c r="FR38" s="1">
        <v>41.39</v>
      </c>
      <c r="FS38" s="1">
        <v>40.65</v>
      </c>
      <c r="FT38" s="1">
        <v>39.65</v>
      </c>
      <c r="FU38" s="1">
        <v>38.86</v>
      </c>
      <c r="FV38" s="1">
        <v>38.64</v>
      </c>
      <c r="FW38" s="1">
        <v>38.99</v>
      </c>
      <c r="FX38" s="1">
        <v>39.08</v>
      </c>
      <c r="FY38" s="1">
        <v>39.22</v>
      </c>
      <c r="FZ38" s="1">
        <v>39.25</v>
      </c>
      <c r="GA38" s="1">
        <v>39.39</v>
      </c>
      <c r="GB38" s="1">
        <v>38.86</v>
      </c>
      <c r="GC38" s="1">
        <v>38.6</v>
      </c>
      <c r="GD38" s="1">
        <v>38.43</v>
      </c>
      <c r="GE38" s="1">
        <v>38.31</v>
      </c>
      <c r="GF38" s="1">
        <v>38.380000000000003</v>
      </c>
      <c r="GG38" s="1">
        <v>38.53</v>
      </c>
      <c r="GH38" s="1">
        <v>38.39</v>
      </c>
      <c r="GI38" s="1">
        <v>38.81</v>
      </c>
      <c r="GJ38" s="1">
        <v>38.26</v>
      </c>
      <c r="GK38" s="1">
        <v>38.090000000000003</v>
      </c>
      <c r="GL38" s="1">
        <v>38.67</v>
      </c>
      <c r="GM38" s="1">
        <v>39.729999999999997</v>
      </c>
      <c r="GN38" s="1">
        <v>39.15</v>
      </c>
      <c r="GO38" s="1">
        <v>39.6</v>
      </c>
      <c r="GP38" s="1">
        <v>39.53</v>
      </c>
      <c r="GQ38" s="1">
        <v>39.9</v>
      </c>
      <c r="GR38" s="1">
        <v>40.020000000000003</v>
      </c>
      <c r="GS38" s="1">
        <v>39.840000000000003</v>
      </c>
      <c r="GT38" s="1">
        <v>39.54</v>
      </c>
      <c r="GU38" s="1">
        <v>39.75</v>
      </c>
      <c r="GV38" s="1">
        <v>38.92</v>
      </c>
      <c r="GW38" s="1">
        <v>38.39</v>
      </c>
      <c r="GX38" s="1">
        <v>38.65</v>
      </c>
      <c r="GY38" s="1">
        <v>39.46</v>
      </c>
      <c r="GZ38" s="1">
        <v>39.159999999999997</v>
      </c>
      <c r="HA38" s="1">
        <v>39.159999999999997</v>
      </c>
      <c r="HB38" s="1">
        <v>39.729999999999997</v>
      </c>
      <c r="HC38" s="1">
        <v>39.590000000000003</v>
      </c>
      <c r="HD38" s="1">
        <v>38.96</v>
      </c>
      <c r="HE38" s="1">
        <v>38.54</v>
      </c>
      <c r="HF38" s="1">
        <v>38.56</v>
      </c>
      <c r="HG38" s="1">
        <v>40.78</v>
      </c>
      <c r="HH38" s="1">
        <v>40.42</v>
      </c>
      <c r="HI38" s="1">
        <v>37.840000000000003</v>
      </c>
      <c r="HJ38" s="1">
        <v>37.299999999999997</v>
      </c>
      <c r="HK38" s="1">
        <v>37.54</v>
      </c>
      <c r="HL38" s="1">
        <v>36.94</v>
      </c>
      <c r="HM38" s="1">
        <v>36.67</v>
      </c>
      <c r="HN38" s="1">
        <v>36.409999999999997</v>
      </c>
      <c r="HO38" s="1">
        <v>37.26</v>
      </c>
      <c r="HP38" s="1">
        <v>37.26</v>
      </c>
      <c r="HQ38" s="1">
        <v>36.85</v>
      </c>
      <c r="HR38" s="1">
        <v>36.840000000000003</v>
      </c>
      <c r="HS38" s="1">
        <v>37.479999999999997</v>
      </c>
      <c r="HT38" s="1">
        <v>36.630000000000003</v>
      </c>
      <c r="HU38" s="1">
        <v>37.01</v>
      </c>
      <c r="HV38" s="1">
        <v>36.340000000000003</v>
      </c>
      <c r="HW38" s="1">
        <v>36.18</v>
      </c>
      <c r="HX38" s="1">
        <v>36</v>
      </c>
      <c r="HY38" s="1">
        <v>35.44</v>
      </c>
      <c r="HZ38" s="1">
        <v>36.01</v>
      </c>
      <c r="IA38" s="1">
        <v>36.14</v>
      </c>
      <c r="IB38" s="1">
        <v>36.020000000000003</v>
      </c>
      <c r="IC38" s="1">
        <v>36.1</v>
      </c>
      <c r="ID38" s="1">
        <v>36.130000000000003</v>
      </c>
      <c r="IE38" s="1">
        <v>36.07</v>
      </c>
      <c r="IF38" s="1">
        <v>36.49</v>
      </c>
      <c r="IG38" s="1">
        <v>36.32</v>
      </c>
      <c r="IH38" s="1">
        <v>35.28</v>
      </c>
      <c r="II38" s="1">
        <v>35.25</v>
      </c>
      <c r="IJ38" s="1">
        <v>35.04</v>
      </c>
      <c r="IK38" s="1">
        <v>34.9</v>
      </c>
      <c r="IL38" s="1">
        <v>35.770000000000003</v>
      </c>
      <c r="IM38" s="1">
        <v>36.24</v>
      </c>
      <c r="IN38" s="1">
        <v>35.86</v>
      </c>
      <c r="IO38" s="1">
        <v>36.24</v>
      </c>
      <c r="IP38" s="1">
        <v>35.729999999999997</v>
      </c>
      <c r="IQ38" s="1">
        <v>35.64</v>
      </c>
      <c r="IR38" s="1">
        <v>35.42</v>
      </c>
      <c r="IS38" s="1">
        <v>35.15</v>
      </c>
      <c r="IT38" s="1">
        <v>36.36</v>
      </c>
      <c r="IU38" s="1">
        <v>36.700000000000003</v>
      </c>
      <c r="IV38" s="1">
        <v>36.18</v>
      </c>
      <c r="IW38" s="1">
        <v>36.5</v>
      </c>
      <c r="IX38" s="1">
        <v>35.799999999999997</v>
      </c>
      <c r="IY38" s="1">
        <v>36.07</v>
      </c>
      <c r="IZ38" s="1">
        <v>36.9</v>
      </c>
      <c r="JA38" s="1">
        <v>36.659999999999997</v>
      </c>
      <c r="JB38" s="1">
        <v>36.17</v>
      </c>
      <c r="JC38" s="1">
        <v>35.979999999999997</v>
      </c>
      <c r="JD38" s="1">
        <v>35.619999999999997</v>
      </c>
      <c r="JE38" s="1">
        <v>36.06</v>
      </c>
      <c r="JF38" s="1">
        <v>35.979999999999997</v>
      </c>
      <c r="JG38" s="1">
        <v>35.99</v>
      </c>
      <c r="JH38" s="1">
        <v>36.32</v>
      </c>
      <c r="JI38" s="1">
        <v>36.31</v>
      </c>
      <c r="JJ38" s="1">
        <v>36.880000000000003</v>
      </c>
      <c r="JK38" s="1">
        <v>36</v>
      </c>
      <c r="JL38" s="1">
        <v>35.92</v>
      </c>
      <c r="JM38" s="1">
        <v>36.35</v>
      </c>
      <c r="JN38" s="1">
        <v>36.5</v>
      </c>
      <c r="JO38" s="1">
        <v>36.46</v>
      </c>
      <c r="JP38" s="1">
        <v>35.86</v>
      </c>
      <c r="JQ38" s="1">
        <v>36.19</v>
      </c>
      <c r="JR38" s="1">
        <v>37.58</v>
      </c>
      <c r="JS38" s="1">
        <v>37.01</v>
      </c>
      <c r="JT38" s="1">
        <v>37.119999999999997</v>
      </c>
      <c r="JU38" s="1">
        <v>37.909999999999997</v>
      </c>
      <c r="JV38" s="1">
        <v>37.880000000000003</v>
      </c>
      <c r="JW38" s="1">
        <v>37.11</v>
      </c>
      <c r="JX38" s="1">
        <v>36.799999999999997</v>
      </c>
      <c r="JY38" s="1">
        <v>37.119999999999997</v>
      </c>
      <c r="JZ38" s="1">
        <v>37.270000000000003</v>
      </c>
      <c r="KA38" s="1">
        <v>37.06</v>
      </c>
      <c r="KB38" s="1">
        <v>36.67</v>
      </c>
      <c r="KC38" s="1">
        <v>36.590000000000003</v>
      </c>
      <c r="KD38" s="1">
        <v>36.01</v>
      </c>
      <c r="KE38" s="1">
        <v>36.1</v>
      </c>
      <c r="KF38" s="1">
        <v>35.65</v>
      </c>
      <c r="KG38" s="1">
        <v>35.590000000000003</v>
      </c>
      <c r="KH38" s="1">
        <v>35.47</v>
      </c>
      <c r="KI38" s="1">
        <v>35.6</v>
      </c>
      <c r="KJ38" s="1">
        <v>36.51</v>
      </c>
      <c r="KK38" s="1">
        <v>36.24</v>
      </c>
      <c r="KL38" s="1">
        <v>35.840000000000003</v>
      </c>
      <c r="KM38" s="1">
        <v>36.119999999999997</v>
      </c>
      <c r="KN38" s="1">
        <v>35.869999999999997</v>
      </c>
      <c r="KO38" s="1">
        <v>35.51</v>
      </c>
      <c r="KP38" s="1">
        <v>35.590000000000003</v>
      </c>
      <c r="KQ38" s="1">
        <v>36.369999999999997</v>
      </c>
      <c r="KR38" s="1">
        <v>36.19</v>
      </c>
      <c r="KS38" s="1">
        <v>35.880000000000003</v>
      </c>
      <c r="KT38" s="1">
        <v>36.03</v>
      </c>
    </row>
    <row r="39" spans="1:306" s="24" customFormat="1" ht="13" x14ac:dyDescent="0.3">
      <c r="A39" t="s">
        <v>330</v>
      </c>
      <c r="D39" s="1">
        <f t="shared" si="66"/>
        <v>29</v>
      </c>
      <c r="E39" s="41" t="s">
        <v>212</v>
      </c>
      <c r="F39" s="24" t="s">
        <v>213</v>
      </c>
      <c r="G39" s="45">
        <v>187.53</v>
      </c>
      <c r="H39" s="26">
        <f>+G39*L39</f>
        <v>39868.214518860004</v>
      </c>
      <c r="I39" s="26">
        <f>+[30]Main!$J$5-[30]Main!$J$6</f>
        <v>1947.6510000000001</v>
      </c>
      <c r="J39" s="26">
        <f>+H39-I39</f>
        <v>37920.563518860006</v>
      </c>
      <c r="K39" s="25" t="s">
        <v>2007</v>
      </c>
      <c r="L39" s="26">
        <f>+[30]Main!$J$3</f>
        <v>212.596462</v>
      </c>
      <c r="M39" s="42">
        <v>46235</v>
      </c>
      <c r="N39" s="25"/>
      <c r="O39" s="25"/>
      <c r="P39" s="25"/>
      <c r="Q39" s="25"/>
      <c r="R39" s="25"/>
      <c r="S39" s="43"/>
      <c r="T39" s="43"/>
      <c r="U39" s="43"/>
      <c r="V39" s="43"/>
      <c r="W39" s="116" t="s">
        <v>1677</v>
      </c>
      <c r="X39" s="43" t="s">
        <v>1677</v>
      </c>
      <c r="Y39" s="43" t="s">
        <v>1677</v>
      </c>
      <c r="Z39" s="11">
        <f t="shared" ref="Z39:Z40" si="83">($J39/$L39)/AI39</f>
        <v>48.86814854246812</v>
      </c>
      <c r="AA39" s="11">
        <f t="shared" ref="AA39:AA40" si="84">($J39/$L39)/AJ39</f>
        <v>16.530930693235277</v>
      </c>
      <c r="AB39" s="126">
        <v>-3.08</v>
      </c>
      <c r="AC39" s="101">
        <v>-3.86</v>
      </c>
      <c r="AD39" s="101">
        <v>-3.58</v>
      </c>
      <c r="AE39" s="101">
        <v>-5.95</v>
      </c>
      <c r="AF39" s="101">
        <v>-9.42</v>
      </c>
      <c r="AG39" s="101">
        <v>-6.55</v>
      </c>
      <c r="AH39" s="101">
        <v>-3.5</v>
      </c>
      <c r="AI39" s="101">
        <v>3.65</v>
      </c>
      <c r="AJ39" s="101">
        <v>10.79</v>
      </c>
      <c r="AK39" s="101">
        <v>16.75</v>
      </c>
      <c r="AN39" s="24" t="s">
        <v>2042</v>
      </c>
      <c r="AO39" s="25"/>
      <c r="AP39" s="25"/>
      <c r="AQ39" s="25"/>
    </row>
    <row r="40" spans="1:306" x14ac:dyDescent="0.25">
      <c r="A40" t="s">
        <v>330</v>
      </c>
      <c r="B40"/>
      <c r="C40"/>
      <c r="D40" s="1">
        <f t="shared" si="66"/>
        <v>30</v>
      </c>
      <c r="E40" s="13" t="s">
        <v>259</v>
      </c>
      <c r="F40" t="s">
        <v>260</v>
      </c>
      <c r="G40" s="7">
        <v>202.95</v>
      </c>
      <c r="H40" s="6">
        <f>+G40*L40</f>
        <v>29986.673894099997</v>
      </c>
      <c r="I40" s="6">
        <f>+[31]Main!$J$5-[31]Main!$J$6</f>
        <v>-6805.3</v>
      </c>
      <c r="J40" s="6">
        <f>+H40-I40</f>
        <v>36791.973894099996</v>
      </c>
      <c r="K40" s="3" t="s">
        <v>2079</v>
      </c>
      <c r="L40" s="6">
        <f>+[31]Main!$J$3</f>
        <v>147.753998</v>
      </c>
      <c r="M40" s="9">
        <v>46235</v>
      </c>
      <c r="W40" s="114">
        <f>($J40/$L40)/AF40</f>
        <v>19.762564584568295</v>
      </c>
      <c r="X40" s="119">
        <f t="shared" ref="X40" si="85">($J40/$L40)/AG40</f>
        <v>15.10056481295091</v>
      </c>
      <c r="Y40" s="11">
        <f t="shared" ref="Y40" si="86">($J40/$L40)/AH40</f>
        <v>13.651771588024152</v>
      </c>
      <c r="Z40" s="11">
        <f t="shared" si="83"/>
        <v>12.678631047126299</v>
      </c>
      <c r="AA40" s="11">
        <f t="shared" si="84"/>
        <v>12.128997260865098</v>
      </c>
      <c r="AB40" s="125">
        <v>19.84</v>
      </c>
      <c r="AC40" s="61">
        <v>11.33</v>
      </c>
      <c r="AD40" s="61">
        <v>12.4</v>
      </c>
      <c r="AE40" s="61">
        <v>13.83</v>
      </c>
      <c r="AF40" s="61">
        <v>12.6</v>
      </c>
      <c r="AG40" s="61">
        <v>16.489999999999998</v>
      </c>
      <c r="AH40" s="61">
        <v>18.239999999999998</v>
      </c>
      <c r="AI40" s="61">
        <v>19.64</v>
      </c>
      <c r="AJ40" s="61">
        <v>20.53</v>
      </c>
      <c r="AK40" s="61">
        <v>21.54</v>
      </c>
      <c r="AL40" s="1">
        <v>1978</v>
      </c>
      <c r="AM40" s="1" t="s">
        <v>2227</v>
      </c>
      <c r="AN40" t="s">
        <v>2042</v>
      </c>
      <c r="AO40" s="10">
        <f>BD40/FV40-1</f>
        <v>0.2275129268708449</v>
      </c>
      <c r="AP40" s="10">
        <f>BD40/BX40-1</f>
        <v>0.1021938775510205</v>
      </c>
      <c r="AQ40" s="10">
        <f>BD40/CA40-1</f>
        <v>0.11886264760720944</v>
      </c>
      <c r="AR40" s="122">
        <f>BD40/KT40-1</f>
        <v>0.72012102874432671</v>
      </c>
      <c r="BD40" s="1">
        <v>216.03</v>
      </c>
      <c r="BE40" s="1">
        <v>201.96</v>
      </c>
      <c r="BF40" s="1">
        <v>199.59</v>
      </c>
      <c r="BG40" s="1">
        <v>197.19</v>
      </c>
      <c r="BH40" s="1">
        <v>199.71</v>
      </c>
      <c r="BJ40" s="1">
        <v>196.58</v>
      </c>
      <c r="BK40" s="1">
        <v>198.67</v>
      </c>
      <c r="BL40" s="1">
        <v>195.61</v>
      </c>
      <c r="BM40" s="1">
        <v>198.64</v>
      </c>
      <c r="BN40" s="1">
        <v>200.05</v>
      </c>
      <c r="BO40" s="1">
        <v>199.96</v>
      </c>
      <c r="BP40" s="1">
        <v>194.24</v>
      </c>
      <c r="BQ40" s="1">
        <v>199.1</v>
      </c>
      <c r="BR40" s="1">
        <v>192.62</v>
      </c>
      <c r="BS40" s="1">
        <v>195.34</v>
      </c>
      <c r="BT40" s="1">
        <v>196.45</v>
      </c>
      <c r="BU40" s="1">
        <v>195.96</v>
      </c>
      <c r="BV40" s="1">
        <v>188.83</v>
      </c>
      <c r="BW40" s="1">
        <v>192.23</v>
      </c>
      <c r="BX40" s="1">
        <v>196</v>
      </c>
      <c r="BY40" s="1">
        <v>196.39</v>
      </c>
      <c r="BZ40" s="1">
        <v>196.97</v>
      </c>
      <c r="CA40" s="1">
        <v>193.08</v>
      </c>
      <c r="CB40" s="1">
        <v>193.76</v>
      </c>
      <c r="CC40" s="1">
        <v>189.47</v>
      </c>
      <c r="CD40" s="1">
        <v>187.8</v>
      </c>
      <c r="CE40" s="1">
        <v>190.56</v>
      </c>
      <c r="CF40" s="1">
        <v>191.91</v>
      </c>
      <c r="CG40" s="1">
        <v>192.95</v>
      </c>
      <c r="CH40" s="1">
        <v>191.37</v>
      </c>
      <c r="CI40" s="1">
        <v>204.53</v>
      </c>
      <c r="CJ40" s="1">
        <v>199.36</v>
      </c>
      <c r="CK40" s="1">
        <v>197.95</v>
      </c>
      <c r="CL40" s="1">
        <v>193.45</v>
      </c>
      <c r="CM40" s="1">
        <v>191.38</v>
      </c>
      <c r="CN40" s="1">
        <v>190.68</v>
      </c>
      <c r="CO40" s="1">
        <v>189.13</v>
      </c>
      <c r="CP40" s="1">
        <v>187.21</v>
      </c>
      <c r="CQ40" s="1">
        <v>187.06</v>
      </c>
      <c r="CR40" s="1">
        <v>189.28</v>
      </c>
      <c r="CS40" s="1">
        <v>194.38</v>
      </c>
      <c r="CT40" s="1">
        <v>183.38</v>
      </c>
      <c r="CU40" s="1">
        <v>180.67</v>
      </c>
      <c r="CV40" s="1">
        <v>184.38</v>
      </c>
      <c r="CW40" s="1">
        <v>187.88</v>
      </c>
      <c r="CX40" s="1">
        <v>190.07</v>
      </c>
      <c r="CY40" s="1">
        <v>185.95</v>
      </c>
      <c r="CZ40" s="1">
        <v>183.34</v>
      </c>
      <c r="DA40" s="1">
        <v>177.35</v>
      </c>
      <c r="DB40" s="1">
        <v>176.02</v>
      </c>
      <c r="DC40" s="1">
        <v>180.54</v>
      </c>
      <c r="DD40" s="1">
        <v>178.96</v>
      </c>
      <c r="DE40" s="1">
        <v>176.36500000000001</v>
      </c>
      <c r="DF40" s="1">
        <v>172.97</v>
      </c>
      <c r="DG40" s="1">
        <v>177.11</v>
      </c>
      <c r="DH40" s="1">
        <v>179.9</v>
      </c>
      <c r="DI40" s="1">
        <v>175.61</v>
      </c>
      <c r="DJ40" s="1">
        <v>172.34</v>
      </c>
      <c r="DK40" s="1">
        <v>177.34</v>
      </c>
      <c r="DL40" s="1">
        <v>183.78</v>
      </c>
      <c r="DM40" s="1">
        <v>183.33</v>
      </c>
      <c r="DN40" s="1">
        <v>187.57</v>
      </c>
      <c r="DO40" s="1">
        <v>183.84</v>
      </c>
      <c r="DP40" s="1">
        <v>191.06</v>
      </c>
      <c r="DQ40" s="1">
        <v>189.18</v>
      </c>
      <c r="DR40" s="1">
        <v>183.94</v>
      </c>
      <c r="DS40" s="1">
        <v>183.64</v>
      </c>
      <c r="DT40" s="1">
        <v>181.46</v>
      </c>
      <c r="DU40" s="1">
        <v>183.41</v>
      </c>
      <c r="DV40" s="1">
        <v>182.31</v>
      </c>
      <c r="DW40" s="1">
        <v>185.29</v>
      </c>
      <c r="DX40" s="1">
        <v>183.26</v>
      </c>
      <c r="DY40" s="1">
        <v>181.55</v>
      </c>
      <c r="DZ40" s="1">
        <v>184.9</v>
      </c>
      <c r="EA40" s="1">
        <v>190.48</v>
      </c>
      <c r="EB40" s="1">
        <v>188.41</v>
      </c>
      <c r="EC40" s="1">
        <v>188.24</v>
      </c>
      <c r="ED40" s="1">
        <v>184.87</v>
      </c>
      <c r="EE40" s="1">
        <v>188.08</v>
      </c>
      <c r="EF40" s="1">
        <v>189.94</v>
      </c>
      <c r="EG40" s="1">
        <v>184.02</v>
      </c>
      <c r="EH40" s="1">
        <v>188.05</v>
      </c>
      <c r="EI40" s="1">
        <v>191.82</v>
      </c>
      <c r="EJ40" s="1">
        <v>188.02</v>
      </c>
      <c r="EK40" s="1">
        <v>190.73</v>
      </c>
      <c r="EL40" s="1">
        <v>195.13</v>
      </c>
      <c r="EM40" s="1">
        <v>196.34</v>
      </c>
      <c r="EN40" s="1">
        <v>192.03</v>
      </c>
      <c r="EO40" s="1">
        <v>192.08</v>
      </c>
      <c r="EP40" s="1">
        <v>194.13</v>
      </c>
      <c r="EQ40" s="1">
        <v>195.62</v>
      </c>
      <c r="ER40" s="1">
        <v>196.52</v>
      </c>
      <c r="ES40" s="1">
        <v>195.5</v>
      </c>
      <c r="ET40" s="1">
        <v>191.2</v>
      </c>
      <c r="EU40" s="1">
        <v>188.99</v>
      </c>
      <c r="EV40" s="1">
        <v>193.81</v>
      </c>
      <c r="EW40" s="1">
        <v>201.18</v>
      </c>
      <c r="EX40" s="1">
        <v>185.36</v>
      </c>
      <c r="EY40" s="1">
        <v>185.45</v>
      </c>
      <c r="EZ40" s="1">
        <v>176.76</v>
      </c>
      <c r="FA40" s="1">
        <v>179.09</v>
      </c>
      <c r="FB40" s="1">
        <v>179.89</v>
      </c>
      <c r="FC40" s="1">
        <v>176.18</v>
      </c>
      <c r="FD40" s="1">
        <v>174.83</v>
      </c>
      <c r="FE40" s="1">
        <v>174.12</v>
      </c>
      <c r="FF40" s="1">
        <v>173.12</v>
      </c>
      <c r="FG40" s="1">
        <v>171.59</v>
      </c>
      <c r="FH40" s="1">
        <v>173.8</v>
      </c>
      <c r="FI40" s="1">
        <v>172.62</v>
      </c>
      <c r="FJ40" s="1">
        <v>165.38</v>
      </c>
      <c r="FK40" s="1">
        <v>164.42</v>
      </c>
      <c r="FL40" s="1">
        <v>168.57</v>
      </c>
      <c r="FM40" s="1">
        <v>169.31</v>
      </c>
      <c r="FN40" s="1">
        <v>178.3</v>
      </c>
      <c r="FO40" s="1">
        <v>185.63</v>
      </c>
      <c r="FP40" s="1">
        <v>187.62</v>
      </c>
      <c r="FQ40" s="1">
        <v>186</v>
      </c>
      <c r="FR40" s="1">
        <v>186.91</v>
      </c>
      <c r="FS40" s="1">
        <v>182.61</v>
      </c>
      <c r="FT40" s="1">
        <v>174.63</v>
      </c>
      <c r="FU40" s="1">
        <v>177.82</v>
      </c>
      <c r="FV40" s="1">
        <v>175.99</v>
      </c>
      <c r="FW40" s="1">
        <v>176.4</v>
      </c>
      <c r="FX40" s="1">
        <v>176.83</v>
      </c>
      <c r="FY40" s="1">
        <v>177.08</v>
      </c>
      <c r="FZ40" s="1">
        <v>176.33</v>
      </c>
      <c r="GA40" s="1">
        <v>174.82</v>
      </c>
      <c r="GB40" s="1">
        <v>174.7</v>
      </c>
      <c r="GC40" s="1">
        <v>174.8</v>
      </c>
      <c r="GD40" s="1">
        <v>169.91</v>
      </c>
      <c r="GE40" s="1">
        <v>172.1</v>
      </c>
      <c r="GF40" s="1">
        <v>171.5</v>
      </c>
      <c r="GG40" s="1">
        <v>175.74</v>
      </c>
      <c r="GH40" s="1">
        <v>174.1</v>
      </c>
      <c r="GI40" s="1">
        <v>172.5</v>
      </c>
      <c r="GJ40" s="1">
        <v>177.55</v>
      </c>
      <c r="GK40" s="1">
        <v>175.84</v>
      </c>
      <c r="GL40" s="1">
        <v>180.44</v>
      </c>
      <c r="GM40" s="1">
        <v>181.3</v>
      </c>
      <c r="GN40" s="1">
        <v>181.98</v>
      </c>
      <c r="GO40" s="1">
        <v>180.75</v>
      </c>
      <c r="GP40" s="1">
        <v>180.18</v>
      </c>
      <c r="GQ40" s="1">
        <v>177.78</v>
      </c>
      <c r="GR40" s="1">
        <v>182.09</v>
      </c>
      <c r="GS40" s="1">
        <v>181.94</v>
      </c>
      <c r="GT40" s="1">
        <v>181.96</v>
      </c>
      <c r="GU40" s="1">
        <v>176.82</v>
      </c>
      <c r="GV40" s="1">
        <v>175.3</v>
      </c>
      <c r="GW40" s="1">
        <v>168.18</v>
      </c>
      <c r="GX40" s="1">
        <v>167.93</v>
      </c>
      <c r="GY40" s="1">
        <v>168.83</v>
      </c>
      <c r="GZ40" s="1">
        <v>164.68</v>
      </c>
      <c r="HA40" s="1">
        <v>167.55</v>
      </c>
      <c r="HB40" s="1">
        <v>164.73</v>
      </c>
      <c r="HC40" s="1">
        <v>161.47999999999999</v>
      </c>
      <c r="HD40" s="1">
        <v>159.56</v>
      </c>
      <c r="HE40" s="1">
        <v>156.26</v>
      </c>
      <c r="HF40" s="1">
        <v>155.51</v>
      </c>
      <c r="HG40" s="1">
        <v>156.74</v>
      </c>
      <c r="HH40" s="1">
        <v>153.43</v>
      </c>
      <c r="HI40" s="1">
        <v>149.33000000000001</v>
      </c>
      <c r="HJ40" s="1">
        <v>151.44</v>
      </c>
      <c r="HK40" s="1">
        <v>154.27000000000001</v>
      </c>
      <c r="HL40" s="1">
        <v>149.61000000000001</v>
      </c>
      <c r="HM40" s="1">
        <v>147.86000000000001</v>
      </c>
      <c r="HN40" s="1">
        <v>149.13</v>
      </c>
      <c r="HO40" s="1">
        <v>150.43</v>
      </c>
      <c r="HP40" s="1">
        <v>149.88999999999999</v>
      </c>
      <c r="HQ40" s="1">
        <v>150.08000000000001</v>
      </c>
      <c r="HR40" s="1">
        <v>147.72</v>
      </c>
      <c r="HS40" s="1">
        <v>146.22</v>
      </c>
      <c r="HT40" s="1">
        <v>146.63</v>
      </c>
      <c r="HU40" s="1">
        <v>143</v>
      </c>
      <c r="HV40" s="1">
        <v>142.26</v>
      </c>
      <c r="HW40" s="1">
        <v>143.66</v>
      </c>
      <c r="HX40" s="1">
        <v>145.31</v>
      </c>
      <c r="HY40" s="1">
        <v>144.69</v>
      </c>
      <c r="HZ40" s="1">
        <v>146.57</v>
      </c>
      <c r="IA40" s="1">
        <v>149.61000000000001</v>
      </c>
      <c r="IB40" s="1">
        <v>150.97</v>
      </c>
      <c r="IC40" s="1">
        <v>152.21</v>
      </c>
      <c r="ID40" s="1">
        <v>154.05000000000001</v>
      </c>
      <c r="IE40" s="1">
        <v>159.88</v>
      </c>
      <c r="IF40" s="1">
        <v>155.25</v>
      </c>
      <c r="IG40" s="1">
        <v>154.22</v>
      </c>
      <c r="IH40" s="1">
        <v>140.08000000000001</v>
      </c>
      <c r="II40" s="1">
        <v>138.52000000000001</v>
      </c>
      <c r="IJ40" s="1">
        <v>137.37</v>
      </c>
      <c r="IK40" s="1">
        <v>135.66999999999999</v>
      </c>
      <c r="IL40" s="1">
        <v>137.66999999999999</v>
      </c>
      <c r="IM40" s="1">
        <v>139.31</v>
      </c>
      <c r="IN40" s="1">
        <v>140.66</v>
      </c>
      <c r="IO40" s="1">
        <v>142.5</v>
      </c>
      <c r="IP40" s="1">
        <v>143.81</v>
      </c>
      <c r="IQ40" s="1">
        <v>144.87</v>
      </c>
      <c r="IR40" s="1">
        <v>143.68</v>
      </c>
      <c r="IS40" s="1">
        <v>143.32</v>
      </c>
      <c r="IT40" s="1">
        <v>144.86000000000001</v>
      </c>
      <c r="IU40" s="1">
        <v>148.84</v>
      </c>
      <c r="IV40" s="1">
        <v>142.61000000000001</v>
      </c>
      <c r="IW40" s="1">
        <v>143.6</v>
      </c>
      <c r="IX40" s="1">
        <v>141.35</v>
      </c>
      <c r="IY40" s="1">
        <v>140.66999999999999</v>
      </c>
      <c r="IZ40" s="1">
        <v>139.94</v>
      </c>
      <c r="JA40" s="1">
        <v>141.62</v>
      </c>
      <c r="JB40" s="1">
        <v>139.63</v>
      </c>
      <c r="JC40" s="1">
        <v>132.22</v>
      </c>
      <c r="JD40" s="1">
        <v>132.65</v>
      </c>
      <c r="JE40" s="1">
        <v>136.36000000000001</v>
      </c>
      <c r="JF40" s="1">
        <v>136.72</v>
      </c>
      <c r="JG40" s="1">
        <v>136.36000000000001</v>
      </c>
      <c r="JH40" s="1">
        <v>139.31</v>
      </c>
      <c r="JI40" s="1">
        <v>139.12</v>
      </c>
      <c r="JJ40" s="1">
        <v>138.99</v>
      </c>
      <c r="JK40" s="1">
        <v>138.86000000000001</v>
      </c>
      <c r="JL40" s="1">
        <v>135.91</v>
      </c>
      <c r="JM40" s="1">
        <v>138.6</v>
      </c>
      <c r="JN40" s="1">
        <v>134.94</v>
      </c>
      <c r="JO40" s="1">
        <v>135.19</v>
      </c>
      <c r="JP40" s="1">
        <v>128.93</v>
      </c>
      <c r="JQ40" s="1">
        <v>128</v>
      </c>
      <c r="JR40" s="1">
        <v>130.66999999999999</v>
      </c>
      <c r="JS40" s="1">
        <v>127.75</v>
      </c>
      <c r="JT40" s="1">
        <v>129.34</v>
      </c>
      <c r="JU40" s="1">
        <v>132.88999999999999</v>
      </c>
      <c r="JV40" s="1">
        <v>132.19999999999999</v>
      </c>
      <c r="JW40" s="1">
        <v>131.94999999999999</v>
      </c>
      <c r="JX40" s="1">
        <v>128</v>
      </c>
      <c r="JY40" s="1">
        <v>126.64</v>
      </c>
      <c r="JZ40" s="1">
        <v>127.9</v>
      </c>
      <c r="KA40" s="1">
        <v>129.28</v>
      </c>
      <c r="KB40" s="1">
        <v>131.52000000000001</v>
      </c>
      <c r="KC40" s="1">
        <v>132.59</v>
      </c>
      <c r="KD40" s="1">
        <v>130.97999999999999</v>
      </c>
      <c r="KE40" s="1">
        <v>127.85</v>
      </c>
      <c r="KF40" s="1">
        <v>122.68</v>
      </c>
      <c r="KG40" s="1">
        <v>124.99</v>
      </c>
      <c r="KH40" s="1">
        <v>128.69</v>
      </c>
      <c r="KI40" s="1">
        <v>128.46</v>
      </c>
      <c r="KJ40" s="1">
        <v>127.5</v>
      </c>
      <c r="KK40" s="1">
        <v>133.11000000000001</v>
      </c>
      <c r="KL40" s="1">
        <v>134.21</v>
      </c>
      <c r="KM40" s="1">
        <v>135.33000000000001</v>
      </c>
      <c r="KN40" s="1">
        <v>133.02000000000001</v>
      </c>
      <c r="KO40" s="1">
        <v>134.46</v>
      </c>
      <c r="KP40" s="1">
        <v>130.13</v>
      </c>
      <c r="KQ40" s="1">
        <v>132.87</v>
      </c>
      <c r="KR40" s="1">
        <v>133.19</v>
      </c>
      <c r="KS40" s="1">
        <v>130.07</v>
      </c>
      <c r="KT40" s="1">
        <v>125.59</v>
      </c>
    </row>
    <row r="41" spans="1:306" x14ac:dyDescent="0.25">
      <c r="A41" t="s">
        <v>330</v>
      </c>
      <c r="D41" s="1">
        <f t="shared" si="66"/>
        <v>31</v>
      </c>
      <c r="E41" s="13" t="s">
        <v>73</v>
      </c>
      <c r="F41" s="1" t="s">
        <v>74</v>
      </c>
      <c r="G41" s="7">
        <v>17.649999999999999</v>
      </c>
      <c r="H41" s="6">
        <f>G41*[32]Main!$M$3</f>
        <v>20554.3543431</v>
      </c>
      <c r="I41" s="6">
        <f>[32]Main!$M$5-[32]Main!$M$6</f>
        <v>-12540.4</v>
      </c>
      <c r="J41" s="6">
        <f>H41-I41</f>
        <v>33094.754343100001</v>
      </c>
      <c r="K41" s="3" t="s">
        <v>2007</v>
      </c>
      <c r="L41" s="6">
        <f>+[32]Main!$M$3</f>
        <v>1164.5526540000001</v>
      </c>
      <c r="M41" s="9">
        <v>46235</v>
      </c>
      <c r="W41" s="114">
        <f t="shared" ref="W41" si="87">($J41/$L41)/AF41</f>
        <v>11.413022808022367</v>
      </c>
      <c r="X41" s="119">
        <f t="shared" ref="X41" si="88">($J41/$L41)/AG41</f>
        <v>10.723934638481394</v>
      </c>
      <c r="Y41" s="11">
        <f t="shared" ref="Y41" si="89">($J41/$L41)/AH41</f>
        <v>9.9018908682842142</v>
      </c>
      <c r="Z41" s="11">
        <f t="shared" ref="Z41" si="90">($J41/$L41)/AI41</f>
        <v>9.4413378046430889</v>
      </c>
      <c r="AA41" s="11">
        <f t="shared" ref="AA41" si="91">($J41/$L41)/AJ41</f>
        <v>8.8255983826011466</v>
      </c>
      <c r="AB41" s="125">
        <v>1.58</v>
      </c>
      <c r="AC41" s="61">
        <v>1.22</v>
      </c>
      <c r="AD41" s="61">
        <v>0.78</v>
      </c>
      <c r="AE41" s="61">
        <v>0.57999999999999996</v>
      </c>
      <c r="AF41" s="61">
        <v>2.4900000000000002</v>
      </c>
      <c r="AG41" s="61">
        <v>2.65</v>
      </c>
      <c r="AH41" s="61">
        <v>2.87</v>
      </c>
      <c r="AI41" s="61">
        <v>3.01</v>
      </c>
      <c r="AJ41" s="61">
        <v>3.22</v>
      </c>
      <c r="AK41" s="61" t="s">
        <v>1677</v>
      </c>
      <c r="AL41" s="1">
        <v>1961</v>
      </c>
      <c r="AN41" t="s">
        <v>2042</v>
      </c>
      <c r="AO41" s="10">
        <f>BD41/FV41-1</f>
        <v>0.31164658634538145</v>
      </c>
      <c r="AP41" s="10">
        <f>BD41/BX41-1</f>
        <v>4.305043050430335E-3</v>
      </c>
      <c r="AQ41" s="10">
        <f>BD41/CA41-1</f>
        <v>4.305043050430335E-3</v>
      </c>
      <c r="AR41" s="122">
        <f>BD41/KT41-1</f>
        <v>0.8286674132138856</v>
      </c>
      <c r="BD41" s="1">
        <v>16.329999999999998</v>
      </c>
      <c r="BE41" s="1">
        <v>16.07</v>
      </c>
      <c r="BF41" s="1">
        <v>15.93</v>
      </c>
      <c r="BG41" s="1">
        <v>15.75</v>
      </c>
      <c r="BH41" s="1">
        <v>15.38</v>
      </c>
      <c r="BJ41" s="1">
        <v>15.37</v>
      </c>
      <c r="BK41" s="1">
        <v>15.73</v>
      </c>
      <c r="BL41" s="1">
        <v>16.04</v>
      </c>
      <c r="BM41" s="1">
        <v>16.32</v>
      </c>
      <c r="BN41" s="1">
        <v>16.48</v>
      </c>
      <c r="BO41" s="1">
        <v>16.309999999999999</v>
      </c>
      <c r="BP41" s="1">
        <v>15.77</v>
      </c>
      <c r="BQ41" s="1">
        <v>16.2</v>
      </c>
      <c r="BR41" s="1">
        <v>15.93</v>
      </c>
      <c r="BS41" s="1">
        <v>15.88</v>
      </c>
      <c r="BT41" s="1">
        <v>15.9</v>
      </c>
      <c r="BU41" s="1">
        <v>15.56</v>
      </c>
      <c r="BV41" s="1">
        <v>15.69</v>
      </c>
      <c r="BW41" s="1">
        <v>15.81</v>
      </c>
      <c r="BX41" s="1">
        <v>16.260000000000002</v>
      </c>
      <c r="BY41" s="1">
        <v>16.11</v>
      </c>
      <c r="BZ41" s="1">
        <v>16.29</v>
      </c>
      <c r="CA41" s="1">
        <v>16.260000000000002</v>
      </c>
      <c r="CB41" s="1">
        <v>16.649999999999999</v>
      </c>
      <c r="CC41" s="1">
        <v>16.46</v>
      </c>
      <c r="CD41" s="1">
        <v>16.59</v>
      </c>
      <c r="CE41" s="1">
        <v>16.170000000000002</v>
      </c>
      <c r="CF41" s="1">
        <v>16.5</v>
      </c>
      <c r="CG41" s="1">
        <v>16.48</v>
      </c>
      <c r="CH41" s="1">
        <v>17.260000000000002</v>
      </c>
      <c r="CI41" s="1">
        <v>17.37</v>
      </c>
      <c r="CJ41" s="1">
        <v>17.170000000000002</v>
      </c>
      <c r="CK41" s="1">
        <v>16.920000000000002</v>
      </c>
      <c r="CL41" s="1">
        <v>17.170000000000002</v>
      </c>
      <c r="CM41" s="1">
        <v>17.39</v>
      </c>
      <c r="CN41" s="1">
        <v>15.95</v>
      </c>
      <c r="CO41" s="1">
        <v>15.52</v>
      </c>
      <c r="CP41" s="1">
        <v>15.2</v>
      </c>
      <c r="CQ41" s="1">
        <v>15.04</v>
      </c>
      <c r="CR41" s="1">
        <v>14.94</v>
      </c>
      <c r="CS41" s="1">
        <v>14.97</v>
      </c>
      <c r="CT41" s="1">
        <v>14.82</v>
      </c>
      <c r="CU41" s="1">
        <v>14.81</v>
      </c>
      <c r="CV41" s="1">
        <v>14.59</v>
      </c>
      <c r="CW41" s="1">
        <v>14.75</v>
      </c>
      <c r="CX41" s="1">
        <v>14.52</v>
      </c>
      <c r="CY41" s="1">
        <v>14.73</v>
      </c>
      <c r="CZ41" s="1">
        <v>14.87</v>
      </c>
      <c r="DA41" s="1">
        <v>14.68</v>
      </c>
      <c r="DB41" s="1">
        <v>14.01</v>
      </c>
      <c r="DC41" s="1">
        <v>13.86</v>
      </c>
      <c r="DD41" s="1">
        <v>13.91</v>
      </c>
      <c r="DE41" s="1">
        <v>13.83</v>
      </c>
      <c r="DF41" s="1">
        <v>13.47</v>
      </c>
      <c r="DG41" s="1">
        <v>13.61</v>
      </c>
      <c r="DH41" s="1">
        <v>13.57</v>
      </c>
      <c r="DI41" s="1">
        <v>13.16</v>
      </c>
      <c r="DJ41" s="1">
        <v>13.41</v>
      </c>
      <c r="DK41" s="1">
        <v>13.44</v>
      </c>
      <c r="DL41" s="1">
        <v>13.63</v>
      </c>
      <c r="DM41" s="1">
        <v>13.51</v>
      </c>
      <c r="DN41" s="1">
        <v>12.96</v>
      </c>
      <c r="DO41" s="1">
        <v>13.05</v>
      </c>
      <c r="DP41" s="1">
        <v>13.37</v>
      </c>
      <c r="DQ41" s="1">
        <v>13.5</v>
      </c>
      <c r="DR41" s="1">
        <v>13.36</v>
      </c>
      <c r="DS41" s="1">
        <v>13.29</v>
      </c>
      <c r="DT41" s="1">
        <v>13.2</v>
      </c>
      <c r="DU41" s="1">
        <v>13.5</v>
      </c>
      <c r="DV41" s="1">
        <v>13.74</v>
      </c>
      <c r="DW41" s="1">
        <v>13.8</v>
      </c>
      <c r="DX41" s="1">
        <v>13.51</v>
      </c>
      <c r="DY41" s="1">
        <v>13.51</v>
      </c>
      <c r="DZ41" s="1">
        <v>13.8</v>
      </c>
      <c r="EA41" s="1">
        <v>13.97</v>
      </c>
      <c r="EB41" s="1">
        <v>14.08</v>
      </c>
      <c r="EC41" s="1">
        <v>14.22</v>
      </c>
      <c r="ED41" s="1">
        <v>14.16</v>
      </c>
      <c r="EE41" s="1">
        <v>14.53</v>
      </c>
      <c r="EF41" s="1">
        <v>14.71</v>
      </c>
      <c r="EG41" s="1">
        <v>14.89</v>
      </c>
      <c r="EH41" s="1">
        <v>15.7</v>
      </c>
      <c r="EI41" s="1">
        <v>14.93</v>
      </c>
      <c r="EJ41" s="1">
        <v>15.25</v>
      </c>
      <c r="EK41" s="1">
        <v>16.079999999999998</v>
      </c>
      <c r="EL41" s="1">
        <v>16.065000000000001</v>
      </c>
      <c r="EM41" s="1">
        <v>15.95</v>
      </c>
      <c r="EN41" s="1">
        <v>15.92</v>
      </c>
      <c r="EO41" s="1">
        <v>15.98</v>
      </c>
      <c r="EP41" s="1">
        <v>16.05</v>
      </c>
      <c r="EQ41" s="1">
        <v>15.74</v>
      </c>
      <c r="ER41" s="1">
        <v>15.77</v>
      </c>
      <c r="ES41" s="1">
        <v>15.79</v>
      </c>
      <c r="ET41" s="1">
        <v>16.13</v>
      </c>
      <c r="EU41" s="1">
        <v>15.95</v>
      </c>
      <c r="EV41" s="1">
        <v>15.56</v>
      </c>
      <c r="EW41" s="1">
        <v>14.58</v>
      </c>
      <c r="EX41" s="1">
        <v>14.34</v>
      </c>
      <c r="EY41" s="1">
        <v>14.36</v>
      </c>
      <c r="EZ41" s="1">
        <v>13.68</v>
      </c>
      <c r="FA41" s="1">
        <v>13.68</v>
      </c>
      <c r="FB41" s="1">
        <v>13.09</v>
      </c>
      <c r="FC41" s="1">
        <v>13.07</v>
      </c>
      <c r="FD41" s="1">
        <v>12.97</v>
      </c>
      <c r="FE41" s="1">
        <v>13.12</v>
      </c>
      <c r="FF41" s="1">
        <v>13.17</v>
      </c>
      <c r="FG41" s="1">
        <v>13.21</v>
      </c>
      <c r="FH41" s="1">
        <v>13.24</v>
      </c>
      <c r="FI41" s="1">
        <v>13.05</v>
      </c>
      <c r="FJ41" s="1">
        <v>12.66</v>
      </c>
      <c r="FK41" s="1">
        <v>12.86</v>
      </c>
      <c r="FL41" s="1">
        <v>12.84</v>
      </c>
      <c r="FM41" s="1">
        <v>13.15</v>
      </c>
      <c r="FN41" s="1">
        <v>13.37</v>
      </c>
      <c r="FO41" s="1">
        <v>12.68</v>
      </c>
      <c r="FP41" s="1">
        <v>12.76</v>
      </c>
      <c r="FQ41" s="1">
        <v>12.6</v>
      </c>
      <c r="FR41" s="1">
        <v>12.46</v>
      </c>
      <c r="FS41" s="1">
        <v>12.4</v>
      </c>
      <c r="FT41" s="1">
        <v>12.37</v>
      </c>
      <c r="FU41" s="1">
        <v>12.46</v>
      </c>
      <c r="FV41" s="1">
        <v>12.45</v>
      </c>
      <c r="FW41" s="1">
        <v>12.54</v>
      </c>
      <c r="FX41" s="1">
        <v>12.37</v>
      </c>
      <c r="FY41" s="1">
        <v>12.32</v>
      </c>
      <c r="FZ41" s="1">
        <v>12.24</v>
      </c>
      <c r="GA41" s="1">
        <v>12.02</v>
      </c>
      <c r="GB41" s="1">
        <v>12.01</v>
      </c>
      <c r="GC41" s="1">
        <v>11.93</v>
      </c>
      <c r="GD41" s="1">
        <v>11.94</v>
      </c>
      <c r="GE41" s="1">
        <v>11.7</v>
      </c>
      <c r="GF41" s="1">
        <v>11.46</v>
      </c>
      <c r="GG41" s="1">
        <v>11.66</v>
      </c>
      <c r="GH41" s="1">
        <v>11.65</v>
      </c>
      <c r="GI41" s="1">
        <v>11.59</v>
      </c>
      <c r="GJ41" s="1">
        <v>11.6</v>
      </c>
      <c r="GK41" s="1">
        <v>11.19</v>
      </c>
      <c r="GL41" s="1">
        <v>11.09</v>
      </c>
      <c r="GM41" s="1">
        <v>10.93</v>
      </c>
      <c r="GN41" s="1">
        <v>10.76</v>
      </c>
      <c r="GO41" s="1">
        <v>10.84</v>
      </c>
      <c r="GP41" s="1">
        <v>10.71</v>
      </c>
      <c r="GQ41" s="1">
        <v>10.7</v>
      </c>
      <c r="GR41" s="1">
        <v>10.69</v>
      </c>
      <c r="GS41" s="1">
        <v>10.64</v>
      </c>
      <c r="GT41" s="1">
        <v>10.56</v>
      </c>
      <c r="GU41" s="1">
        <v>10.57</v>
      </c>
      <c r="GV41" s="1">
        <v>10.46</v>
      </c>
      <c r="GW41" s="1">
        <v>10.19</v>
      </c>
      <c r="GX41" s="1">
        <v>10.46</v>
      </c>
      <c r="GY41" s="1">
        <v>10.71</v>
      </c>
      <c r="GZ41" s="1">
        <v>10.66</v>
      </c>
      <c r="HA41" s="1">
        <v>10.72</v>
      </c>
      <c r="HB41" s="1">
        <v>10.91</v>
      </c>
      <c r="HC41" s="1">
        <v>11.01</v>
      </c>
      <c r="HD41" s="1">
        <v>11.2</v>
      </c>
      <c r="HE41" s="1">
        <v>10.17</v>
      </c>
      <c r="HF41" s="1">
        <v>10.119999999999999</v>
      </c>
      <c r="HG41" s="1">
        <v>10.11</v>
      </c>
      <c r="HH41" s="1">
        <v>10.75</v>
      </c>
      <c r="HI41" s="1">
        <v>10.49</v>
      </c>
      <c r="HJ41" s="1">
        <v>10.53</v>
      </c>
      <c r="HK41" s="1">
        <v>10.36</v>
      </c>
      <c r="HL41" s="1">
        <v>10.36</v>
      </c>
      <c r="HM41" s="1">
        <v>10.27</v>
      </c>
      <c r="HN41" s="1">
        <v>10.29</v>
      </c>
      <c r="HO41" s="1">
        <v>10.42</v>
      </c>
      <c r="HP41" s="1">
        <v>10.35</v>
      </c>
      <c r="HQ41" s="1">
        <v>10.31</v>
      </c>
      <c r="HR41" s="1">
        <v>10.41</v>
      </c>
      <c r="HS41" s="1">
        <v>10.39</v>
      </c>
      <c r="HT41" s="1">
        <v>10.31</v>
      </c>
      <c r="HU41" s="1">
        <v>10.17</v>
      </c>
      <c r="HV41" s="1">
        <v>10.1</v>
      </c>
      <c r="HW41" s="1">
        <v>9.98</v>
      </c>
      <c r="HX41" s="1">
        <v>9.93</v>
      </c>
      <c r="HY41" s="1">
        <v>9.86</v>
      </c>
      <c r="HZ41" s="1">
        <v>9.74</v>
      </c>
      <c r="IA41" s="1">
        <v>9.99</v>
      </c>
      <c r="IB41" s="1">
        <v>9.9700000000000006</v>
      </c>
      <c r="IC41" s="1">
        <v>10.14</v>
      </c>
      <c r="ID41" s="1">
        <v>10.130000000000001</v>
      </c>
      <c r="IE41" s="1">
        <v>10.19</v>
      </c>
      <c r="IF41" s="1">
        <v>10.11</v>
      </c>
      <c r="IG41" s="1">
        <v>10.09</v>
      </c>
      <c r="IH41" s="1">
        <v>9.9</v>
      </c>
      <c r="II41" s="1">
        <v>9.6199999999999992</v>
      </c>
      <c r="IJ41" s="1">
        <v>9.52</v>
      </c>
      <c r="IK41" s="1">
        <v>9.49</v>
      </c>
      <c r="IL41" s="1">
        <v>9.7100000000000009</v>
      </c>
      <c r="IM41" s="1">
        <v>9.6</v>
      </c>
      <c r="IN41" s="1">
        <v>9.7899999999999991</v>
      </c>
      <c r="IO41" s="1">
        <v>9.9</v>
      </c>
      <c r="IP41" s="1">
        <v>9.86</v>
      </c>
      <c r="IQ41" s="1">
        <v>9.6199999999999992</v>
      </c>
      <c r="IR41" s="1">
        <v>9.56</v>
      </c>
      <c r="IS41" s="1">
        <v>9.6</v>
      </c>
      <c r="IT41" s="1">
        <v>9.9600000000000009</v>
      </c>
      <c r="IU41" s="1">
        <v>10.17</v>
      </c>
      <c r="IV41" s="1">
        <v>10.24</v>
      </c>
      <c r="IW41" s="1">
        <v>10.45</v>
      </c>
      <c r="IX41" s="1">
        <v>10.48</v>
      </c>
      <c r="IY41" s="1">
        <v>10.5</v>
      </c>
      <c r="IZ41" s="1">
        <v>10.33</v>
      </c>
      <c r="JA41" s="1">
        <v>10.55</v>
      </c>
      <c r="JB41" s="1">
        <v>10.56</v>
      </c>
      <c r="JC41" s="1">
        <v>10.55</v>
      </c>
      <c r="JD41" s="1">
        <v>10.41</v>
      </c>
      <c r="JE41" s="1">
        <v>10.42</v>
      </c>
      <c r="JF41" s="1">
        <v>10.41</v>
      </c>
      <c r="JG41" s="1">
        <v>10.55</v>
      </c>
      <c r="JH41" s="1">
        <v>10.65</v>
      </c>
      <c r="JI41" s="1">
        <v>10.69</v>
      </c>
      <c r="JJ41" s="1">
        <v>10.65</v>
      </c>
      <c r="JK41" s="1">
        <v>10.68</v>
      </c>
      <c r="JL41" s="1">
        <v>10.63</v>
      </c>
      <c r="JM41" s="1">
        <v>10.61</v>
      </c>
      <c r="JN41" s="1">
        <v>10.69</v>
      </c>
      <c r="JO41" s="1">
        <v>10.41</v>
      </c>
      <c r="JP41" s="1">
        <v>10.119999999999999</v>
      </c>
      <c r="JQ41" s="1">
        <v>9.86</v>
      </c>
      <c r="JR41" s="1">
        <v>9.6999999999999993</v>
      </c>
      <c r="JS41" s="1">
        <v>9.39</v>
      </c>
      <c r="JT41" s="1">
        <v>8.75</v>
      </c>
      <c r="JU41" s="1">
        <v>8.98</v>
      </c>
      <c r="JV41" s="1">
        <v>8.94</v>
      </c>
      <c r="JW41" s="1">
        <v>8.81</v>
      </c>
      <c r="JX41" s="1">
        <v>8.74</v>
      </c>
      <c r="JY41" s="1">
        <v>9</v>
      </c>
      <c r="JZ41" s="1">
        <v>9.19</v>
      </c>
      <c r="KA41" s="1">
        <v>9.26</v>
      </c>
      <c r="KB41" s="1">
        <v>9.41</v>
      </c>
      <c r="KC41" s="1">
        <v>9.35</v>
      </c>
      <c r="KD41" s="1">
        <v>9.3699999999999992</v>
      </c>
      <c r="KE41" s="1">
        <v>9.24</v>
      </c>
      <c r="KF41" s="1">
        <v>8.9</v>
      </c>
      <c r="KG41" s="1">
        <v>8.8800000000000008</v>
      </c>
      <c r="KH41" s="1">
        <v>9.27</v>
      </c>
      <c r="KI41" s="1">
        <v>9.08</v>
      </c>
      <c r="KJ41" s="1">
        <v>8.93</v>
      </c>
      <c r="KK41" s="1">
        <v>9.14</v>
      </c>
      <c r="KL41" s="1">
        <v>9.1199999999999992</v>
      </c>
      <c r="KM41" s="1">
        <v>9.25</v>
      </c>
      <c r="KN41" s="1">
        <v>9.23</v>
      </c>
      <c r="KO41" s="1">
        <v>9.26</v>
      </c>
      <c r="KP41" s="1">
        <v>9.1999999999999993</v>
      </c>
      <c r="KQ41" s="1">
        <v>9.32</v>
      </c>
      <c r="KR41" s="1">
        <v>9.34</v>
      </c>
      <c r="KS41" s="1">
        <v>9.18</v>
      </c>
      <c r="KT41" s="1">
        <v>8.93</v>
      </c>
    </row>
    <row r="42" spans="1:306" x14ac:dyDescent="0.25">
      <c r="A42" s="1" t="s">
        <v>330</v>
      </c>
      <c r="B42"/>
      <c r="C42"/>
      <c r="D42" s="1">
        <f t="shared" si="66"/>
        <v>32</v>
      </c>
      <c r="E42" s="5" t="s">
        <v>349</v>
      </c>
      <c r="F42" t="s">
        <v>350</v>
      </c>
      <c r="G42" s="19">
        <v>186700</v>
      </c>
      <c r="H42" s="6">
        <f>+G42*L42/KRW</f>
        <v>30091.006917166782</v>
      </c>
      <c r="I42" s="6">
        <f>([33]Main!$J$5-[33]Main!$J$6)/KRW</f>
        <v>-1833.2170272156316</v>
      </c>
      <c r="J42" s="6">
        <f>H42-I42</f>
        <v>31924.223944382415</v>
      </c>
      <c r="K42" s="3" t="s">
        <v>2007</v>
      </c>
      <c r="L42" s="6">
        <f>+[33]Main!$J$3</f>
        <v>230.96096900000001</v>
      </c>
      <c r="M42" s="9">
        <v>46235</v>
      </c>
      <c r="AN42" t="s">
        <v>2055</v>
      </c>
    </row>
    <row r="43" spans="1:306" x14ac:dyDescent="0.25">
      <c r="A43" s="1" t="s">
        <v>330</v>
      </c>
      <c r="D43" s="1">
        <f t="shared" si="66"/>
        <v>33</v>
      </c>
      <c r="E43" s="13" t="s">
        <v>2080</v>
      </c>
      <c r="F43" s="1" t="s">
        <v>1822</v>
      </c>
      <c r="G43" s="7">
        <v>316.01</v>
      </c>
      <c r="H43" s="6">
        <f>+G43*L43</f>
        <v>35132.104053493844</v>
      </c>
      <c r="I43" s="6">
        <f>[34]Main!$L$5-[34]Main!$L$6</f>
        <v>3713.0210000000006</v>
      </c>
      <c r="J43" s="6">
        <f>H43-I43</f>
        <v>31419.083053493843</v>
      </c>
      <c r="K43" s="3" t="s">
        <v>2007</v>
      </c>
      <c r="L43" s="6">
        <f>+[34]Main!$L$3</f>
        <v>111.1740263076923</v>
      </c>
      <c r="M43" s="9">
        <v>46235</v>
      </c>
      <c r="AO43" s="10">
        <f>BD43/FV43-1</f>
        <v>-7.8733418913136566E-2</v>
      </c>
      <c r="AP43" s="10">
        <f>BD43/BX43-1</f>
        <v>-2.7889691580994858E-2</v>
      </c>
      <c r="AQ43" s="10">
        <f>BD43/CA43-1</f>
        <v>-7.4560243354053757E-2</v>
      </c>
      <c r="AR43" s="122">
        <f>BD43/KT43-1</f>
        <v>0.1562357995621102</v>
      </c>
      <c r="BD43" s="1">
        <v>279.89</v>
      </c>
      <c r="BE43" s="1">
        <v>275.33999999999997</v>
      </c>
      <c r="BF43" s="1">
        <v>277.12</v>
      </c>
      <c r="BG43" s="1">
        <v>276.13</v>
      </c>
      <c r="BH43" s="1">
        <v>271.8</v>
      </c>
      <c r="BJ43" s="1">
        <v>270.14999999999998</v>
      </c>
      <c r="BK43" s="1">
        <v>262.68</v>
      </c>
      <c r="BL43" s="1">
        <v>263.92</v>
      </c>
      <c r="BM43" s="1">
        <v>268.2</v>
      </c>
      <c r="BN43" s="1">
        <v>264.48</v>
      </c>
      <c r="BO43" s="1">
        <v>260.27</v>
      </c>
      <c r="BP43" s="1">
        <v>263.61</v>
      </c>
      <c r="BQ43" s="1">
        <v>268.17</v>
      </c>
      <c r="BR43" s="1">
        <v>270.8</v>
      </c>
      <c r="BS43" s="1">
        <v>270.10000000000002</v>
      </c>
      <c r="BT43" s="1">
        <v>279.93</v>
      </c>
      <c r="BU43" s="1">
        <v>279</v>
      </c>
      <c r="BV43" s="1">
        <v>274.69</v>
      </c>
      <c r="BW43" s="1">
        <v>279.68</v>
      </c>
      <c r="BX43" s="1">
        <v>287.92</v>
      </c>
      <c r="BY43" s="1">
        <v>290.58</v>
      </c>
      <c r="BZ43" s="1">
        <v>300.01</v>
      </c>
      <c r="CA43" s="1">
        <v>302.44</v>
      </c>
      <c r="CB43" s="1">
        <v>310.25</v>
      </c>
      <c r="CC43" s="1">
        <v>309.62</v>
      </c>
      <c r="CD43" s="1">
        <v>308.74</v>
      </c>
      <c r="CE43" s="1">
        <v>297.01</v>
      </c>
      <c r="CF43" s="1">
        <v>293.08999999999997</v>
      </c>
      <c r="CG43" s="1">
        <v>293.27</v>
      </c>
      <c r="CH43" s="1">
        <v>304.62</v>
      </c>
      <c r="CI43" s="1">
        <v>316.55</v>
      </c>
      <c r="CJ43" s="1">
        <v>315.07</v>
      </c>
      <c r="CK43" s="1">
        <v>310.75</v>
      </c>
      <c r="CL43" s="1">
        <v>312.12</v>
      </c>
      <c r="CM43" s="1">
        <v>317</v>
      </c>
      <c r="CN43" s="1">
        <v>313.32</v>
      </c>
      <c r="CO43" s="1">
        <v>297.49</v>
      </c>
      <c r="CP43" s="1">
        <v>297.14</v>
      </c>
      <c r="CQ43" s="1">
        <v>293.86</v>
      </c>
      <c r="CR43" s="1">
        <v>295.27</v>
      </c>
      <c r="CS43" s="1">
        <v>290.8</v>
      </c>
      <c r="CT43" s="1">
        <v>298.16000000000003</v>
      </c>
      <c r="CU43" s="1">
        <v>298.89999999999998</v>
      </c>
      <c r="CV43" s="1">
        <v>300.8</v>
      </c>
      <c r="CW43" s="1">
        <v>299.81</v>
      </c>
      <c r="CX43" s="1">
        <v>312.41000000000003</v>
      </c>
      <c r="CY43" s="1">
        <v>312.31</v>
      </c>
      <c r="CZ43" s="1">
        <v>318.07</v>
      </c>
      <c r="DA43" s="1">
        <v>323.87</v>
      </c>
      <c r="DB43" s="1">
        <v>320.7</v>
      </c>
      <c r="DC43" s="1">
        <v>319.94</v>
      </c>
      <c r="DD43" s="1">
        <v>310</v>
      </c>
      <c r="DE43" s="1">
        <v>305.64</v>
      </c>
      <c r="DF43" s="1">
        <v>309.66000000000003</v>
      </c>
      <c r="DG43" s="1">
        <v>313.42</v>
      </c>
      <c r="DH43" s="1">
        <v>312.19</v>
      </c>
      <c r="DI43" s="1">
        <v>303.82</v>
      </c>
      <c r="DJ43" s="1">
        <v>302.49</v>
      </c>
      <c r="DK43" s="1">
        <v>310.79000000000002</v>
      </c>
      <c r="DL43" s="1">
        <v>308.44</v>
      </c>
      <c r="DM43" s="1">
        <v>296.97000000000003</v>
      </c>
      <c r="DN43" s="1">
        <v>284.08</v>
      </c>
      <c r="DO43" s="1">
        <v>283.02999999999997</v>
      </c>
      <c r="DP43" s="1">
        <v>276.95</v>
      </c>
      <c r="DQ43" s="1">
        <v>283.45</v>
      </c>
      <c r="DR43" s="1">
        <v>275.69</v>
      </c>
      <c r="DS43" s="1">
        <v>274.73</v>
      </c>
      <c r="DT43" s="1">
        <v>275.27999999999997</v>
      </c>
      <c r="DU43" s="1">
        <v>282.72000000000003</v>
      </c>
      <c r="DV43" s="1">
        <v>282.29000000000002</v>
      </c>
      <c r="DW43" s="1">
        <v>287.33</v>
      </c>
      <c r="DX43" s="1">
        <v>289.64999999999998</v>
      </c>
      <c r="DY43" s="1">
        <v>284.05</v>
      </c>
      <c r="DZ43" s="1">
        <v>285.3</v>
      </c>
      <c r="EA43" s="1">
        <v>298.91000000000003</v>
      </c>
      <c r="EB43" s="1">
        <v>305.39</v>
      </c>
      <c r="EC43" s="1">
        <v>302.29000000000002</v>
      </c>
      <c r="ED43" s="1">
        <v>301.12</v>
      </c>
      <c r="EE43" s="1">
        <v>292.94</v>
      </c>
      <c r="EF43" s="1">
        <v>299.02</v>
      </c>
      <c r="EG43" s="1">
        <v>297.04000000000002</v>
      </c>
      <c r="EH43" s="1">
        <v>314.36</v>
      </c>
      <c r="EI43" s="1">
        <v>316.99</v>
      </c>
      <c r="EJ43" s="1">
        <v>322.37</v>
      </c>
      <c r="EK43" s="1">
        <v>352.23</v>
      </c>
      <c r="EL43" s="1">
        <v>369</v>
      </c>
      <c r="EM43" s="1">
        <v>370.64</v>
      </c>
      <c r="EN43" s="1">
        <v>362.14</v>
      </c>
      <c r="EO43" s="1">
        <v>354.48</v>
      </c>
      <c r="EP43" s="1">
        <v>359.05</v>
      </c>
      <c r="EQ43" s="1">
        <v>354.86</v>
      </c>
      <c r="ER43" s="1">
        <v>346.07</v>
      </c>
      <c r="ES43" s="1">
        <v>346.42</v>
      </c>
      <c r="ET43" s="1">
        <v>351.27</v>
      </c>
      <c r="EU43" s="1">
        <v>353.43</v>
      </c>
      <c r="EV43" s="1">
        <v>348.85</v>
      </c>
      <c r="EW43" s="1">
        <v>353.92</v>
      </c>
      <c r="EX43" s="1">
        <v>347</v>
      </c>
      <c r="EY43" s="1">
        <v>352</v>
      </c>
      <c r="EZ43" s="1">
        <v>346.38</v>
      </c>
      <c r="FA43" s="1">
        <v>345</v>
      </c>
      <c r="FB43" s="1">
        <v>340.38</v>
      </c>
      <c r="FC43" s="1">
        <v>350</v>
      </c>
      <c r="FD43" s="1">
        <v>350</v>
      </c>
      <c r="FE43" s="1">
        <v>336.16</v>
      </c>
      <c r="FF43" s="1">
        <v>337.79</v>
      </c>
      <c r="FG43" s="1">
        <v>339.32</v>
      </c>
      <c r="FH43" s="1">
        <v>338.81</v>
      </c>
      <c r="FI43" s="1">
        <v>341.64</v>
      </c>
      <c r="FJ43" s="1">
        <v>334.28</v>
      </c>
      <c r="FK43" s="1">
        <v>338.19</v>
      </c>
      <c r="FL43" s="1">
        <v>338.29</v>
      </c>
      <c r="FM43" s="1">
        <v>346.75</v>
      </c>
      <c r="FN43" s="1">
        <v>351.06</v>
      </c>
      <c r="FO43" s="1">
        <v>333.99</v>
      </c>
      <c r="FP43" s="1">
        <v>337.89</v>
      </c>
      <c r="FQ43" s="1">
        <v>320.37</v>
      </c>
      <c r="FR43" s="1">
        <v>333.87</v>
      </c>
      <c r="FS43" s="1">
        <v>320.35000000000002</v>
      </c>
      <c r="FT43" s="1">
        <v>320.3</v>
      </c>
      <c r="FU43" s="1">
        <v>311.02</v>
      </c>
      <c r="FV43" s="1">
        <v>303.81</v>
      </c>
      <c r="FW43" s="1">
        <v>304.72000000000003</v>
      </c>
      <c r="FX43" s="1">
        <v>310.3</v>
      </c>
      <c r="FY43" s="1">
        <v>312.39</v>
      </c>
      <c r="FZ43" s="1">
        <v>311.73</v>
      </c>
      <c r="GA43" s="1">
        <v>312.32</v>
      </c>
      <c r="GB43" s="1">
        <v>313.36</v>
      </c>
      <c r="GC43" s="1">
        <v>316.05</v>
      </c>
      <c r="GD43" s="1">
        <v>307.02</v>
      </c>
      <c r="GE43" s="1">
        <v>306.05</v>
      </c>
      <c r="GF43" s="1">
        <v>304.31</v>
      </c>
      <c r="GG43" s="1">
        <v>310.67</v>
      </c>
      <c r="GH43" s="1">
        <v>319.06</v>
      </c>
      <c r="GI43" s="1">
        <v>320.83999999999997</v>
      </c>
      <c r="GJ43" s="1">
        <v>322.68</v>
      </c>
      <c r="GK43" s="1">
        <v>318.69</v>
      </c>
      <c r="GL43" s="1">
        <v>326.49</v>
      </c>
      <c r="GM43" s="1">
        <v>322.89999999999998</v>
      </c>
      <c r="GN43" s="1">
        <v>331.4</v>
      </c>
      <c r="GO43" s="1">
        <v>337.86</v>
      </c>
      <c r="GP43" s="1">
        <v>330.185</v>
      </c>
      <c r="GQ43" s="1">
        <v>335.6</v>
      </c>
      <c r="GR43" s="1">
        <v>340.61</v>
      </c>
      <c r="GS43" s="1">
        <v>340.64</v>
      </c>
      <c r="GT43" s="1">
        <v>335.17</v>
      </c>
      <c r="GU43" s="1">
        <v>332.71</v>
      </c>
      <c r="GV43" s="1">
        <v>347.72</v>
      </c>
      <c r="GW43" s="1">
        <v>349.29</v>
      </c>
      <c r="GX43" s="1">
        <v>353.79</v>
      </c>
      <c r="GY43" s="1">
        <v>363.92</v>
      </c>
      <c r="GZ43" s="1">
        <v>376.63</v>
      </c>
      <c r="HA43" s="1">
        <v>365.82</v>
      </c>
      <c r="HB43" s="1">
        <v>368.36</v>
      </c>
      <c r="HC43" s="1">
        <v>377.47</v>
      </c>
      <c r="HD43" s="1">
        <v>343.65</v>
      </c>
      <c r="HE43" s="1">
        <v>329.2</v>
      </c>
      <c r="HF43" s="1">
        <v>319.97000000000003</v>
      </c>
      <c r="HG43" s="1">
        <v>332.36</v>
      </c>
      <c r="HH43" s="1">
        <v>321.39</v>
      </c>
      <c r="HI43" s="1">
        <v>309.19</v>
      </c>
      <c r="HJ43" s="1">
        <v>311.86</v>
      </c>
      <c r="HK43" s="1">
        <v>310.48</v>
      </c>
      <c r="HL43" s="1">
        <v>308.22000000000003</v>
      </c>
      <c r="HM43" s="1">
        <v>314.85000000000002</v>
      </c>
      <c r="HN43" s="1">
        <v>316.85000000000002</v>
      </c>
      <c r="HO43" s="1">
        <v>315.43</v>
      </c>
      <c r="HP43" s="1">
        <v>310.81</v>
      </c>
      <c r="HQ43" s="1">
        <v>310.02999999999997</v>
      </c>
      <c r="HR43" s="1">
        <v>313.54000000000002</v>
      </c>
      <c r="HS43" s="1">
        <v>315.73500000000001</v>
      </c>
      <c r="HT43" s="1">
        <v>318.58999999999997</v>
      </c>
      <c r="HU43" s="1">
        <v>316.42</v>
      </c>
      <c r="HV43" s="1">
        <v>318.02</v>
      </c>
      <c r="HW43" s="1">
        <v>316.14999999999998</v>
      </c>
      <c r="HX43" s="1">
        <v>320.94</v>
      </c>
      <c r="HY43" s="1">
        <v>327.02999999999997</v>
      </c>
      <c r="HZ43" s="1">
        <v>320.10000000000002</v>
      </c>
      <c r="IA43" s="1">
        <v>335.8</v>
      </c>
      <c r="IB43" s="1">
        <v>351.09</v>
      </c>
      <c r="IC43" s="1">
        <v>341.62</v>
      </c>
      <c r="ID43" s="1">
        <v>344.53</v>
      </c>
      <c r="IE43" s="1">
        <v>343.87</v>
      </c>
      <c r="IF43" s="1">
        <v>345.17</v>
      </c>
      <c r="IG43" s="1">
        <v>335.16</v>
      </c>
      <c r="IH43" s="1">
        <v>340.7</v>
      </c>
      <c r="II43" s="1">
        <v>332.83</v>
      </c>
      <c r="IJ43" s="1">
        <v>326.06</v>
      </c>
      <c r="IK43" s="1">
        <v>328.71</v>
      </c>
      <c r="IL43" s="1">
        <v>329.84</v>
      </c>
      <c r="IM43" s="1">
        <v>329.07</v>
      </c>
      <c r="IN43" s="1">
        <v>337.815</v>
      </c>
      <c r="IO43" s="1">
        <v>334.4</v>
      </c>
      <c r="IP43" s="1">
        <v>342.89</v>
      </c>
      <c r="IQ43" s="1">
        <v>332.2</v>
      </c>
      <c r="IR43" s="1">
        <v>327.2</v>
      </c>
      <c r="IS43" s="1">
        <v>332.27</v>
      </c>
      <c r="IT43" s="1">
        <v>324.33999999999997</v>
      </c>
      <c r="IU43" s="1">
        <v>335.67</v>
      </c>
      <c r="IV43" s="1">
        <v>313.93</v>
      </c>
      <c r="IW43" s="1">
        <v>351.13</v>
      </c>
      <c r="IX43" s="1">
        <v>346.45</v>
      </c>
      <c r="IY43" s="1">
        <v>341.8</v>
      </c>
      <c r="IZ43" s="1">
        <v>318.73</v>
      </c>
      <c r="JA43" s="1">
        <v>336.26</v>
      </c>
      <c r="JB43" s="1">
        <v>332.04</v>
      </c>
      <c r="JC43" s="1">
        <v>306.05</v>
      </c>
      <c r="JD43" s="1">
        <v>297.95999999999998</v>
      </c>
      <c r="JE43" s="1">
        <v>300.14</v>
      </c>
      <c r="JF43" s="1">
        <v>308.91000000000003</v>
      </c>
      <c r="JG43" s="1">
        <v>308.63</v>
      </c>
      <c r="JH43" s="1">
        <v>313.67</v>
      </c>
      <c r="JI43" s="1">
        <v>313.97000000000003</v>
      </c>
      <c r="JJ43" s="1">
        <v>309.33</v>
      </c>
      <c r="JK43" s="1">
        <v>312.51</v>
      </c>
      <c r="JL43" s="1">
        <v>319.32</v>
      </c>
      <c r="JM43" s="1">
        <v>321.36</v>
      </c>
      <c r="JN43" s="1">
        <v>309.69</v>
      </c>
      <c r="JO43" s="1">
        <v>307.51</v>
      </c>
      <c r="JP43" s="1">
        <v>288.10000000000002</v>
      </c>
      <c r="JQ43" s="1">
        <v>289.75</v>
      </c>
      <c r="JR43" s="1">
        <v>288.18</v>
      </c>
      <c r="JS43" s="1">
        <v>298.29000000000002</v>
      </c>
      <c r="JT43" s="1">
        <v>298.52</v>
      </c>
      <c r="JU43" s="1">
        <v>307.23</v>
      </c>
      <c r="JV43" s="1">
        <v>304.3</v>
      </c>
      <c r="JW43" s="1">
        <v>299.01</v>
      </c>
      <c r="JX43" s="1">
        <v>301.13</v>
      </c>
      <c r="JY43" s="1">
        <v>299.94</v>
      </c>
      <c r="JZ43" s="1">
        <v>305.74</v>
      </c>
      <c r="KA43" s="1">
        <v>294.51</v>
      </c>
      <c r="KB43" s="1">
        <v>291.47000000000003</v>
      </c>
      <c r="KC43" s="1">
        <v>296.45999999999998</v>
      </c>
      <c r="KD43" s="1">
        <v>294.83</v>
      </c>
      <c r="KE43" s="1">
        <v>295.58999999999997</v>
      </c>
      <c r="KF43" s="1">
        <v>291.93</v>
      </c>
      <c r="KG43" s="1">
        <v>294.55</v>
      </c>
      <c r="KH43" s="1">
        <v>290.35000000000002</v>
      </c>
      <c r="KI43" s="1">
        <v>279.16000000000003</v>
      </c>
      <c r="KJ43" s="1">
        <v>269.7</v>
      </c>
      <c r="KK43" s="1">
        <v>252.14</v>
      </c>
      <c r="KL43" s="1">
        <v>250.3</v>
      </c>
      <c r="KM43" s="1">
        <v>253.39</v>
      </c>
      <c r="KN43" s="1">
        <v>255.69</v>
      </c>
      <c r="KO43" s="1">
        <v>244.47</v>
      </c>
      <c r="KP43" s="1">
        <v>240.99</v>
      </c>
      <c r="KQ43" s="1">
        <v>245.49</v>
      </c>
      <c r="KR43" s="1">
        <v>244.32</v>
      </c>
      <c r="KS43" s="1">
        <v>245.16</v>
      </c>
      <c r="KT43" s="1">
        <v>242.07</v>
      </c>
    </row>
    <row r="44" spans="1:306" x14ac:dyDescent="0.25">
      <c r="A44" s="1" t="s">
        <v>330</v>
      </c>
      <c r="B44"/>
      <c r="C44"/>
      <c r="D44" s="1">
        <f t="shared" si="66"/>
        <v>34</v>
      </c>
      <c r="E44" s="13" t="s">
        <v>65</v>
      </c>
      <c r="F44" s="1" t="s">
        <v>66</v>
      </c>
      <c r="G44" s="16">
        <v>11100</v>
      </c>
      <c r="H44" s="6">
        <f>+G44*L44/JPY</f>
        <v>35707.254256332017</v>
      </c>
      <c r="I44" s="6">
        <f>([35]Main!$L$5-[35]Main!$L$6)/JPY</f>
        <v>5737.1681415929206</v>
      </c>
      <c r="J44" s="6">
        <f>H44-I44</f>
        <v>29970.086114739097</v>
      </c>
      <c r="K44" s="3" t="s">
        <v>2079</v>
      </c>
      <c r="L44" s="6">
        <f>+[35]Main!$L$3</f>
        <v>527.08410900000001</v>
      </c>
      <c r="M44" s="9">
        <v>46235</v>
      </c>
      <c r="AN44" t="s">
        <v>2052</v>
      </c>
    </row>
    <row r="45" spans="1:306" x14ac:dyDescent="0.25">
      <c r="A45" t="s">
        <v>330</v>
      </c>
      <c r="B45"/>
      <c r="C45"/>
      <c r="D45" s="1">
        <f t="shared" si="66"/>
        <v>35</v>
      </c>
      <c r="E45" s="5" t="s">
        <v>1050</v>
      </c>
      <c r="F45" t="s">
        <v>1051</v>
      </c>
      <c r="G45" s="20">
        <v>72.12</v>
      </c>
      <c r="H45" s="6">
        <f>+G45*L45/CHF</f>
        <v>38652.088019559902</v>
      </c>
      <c r="I45" s="6">
        <f>[36]Main!$J$5-[36]Main!$J$6</f>
        <v>-3548</v>
      </c>
      <c r="J45" s="6">
        <f>+H45-I45</f>
        <v>42200.088019559902</v>
      </c>
      <c r="K45" s="3" t="s">
        <v>2079</v>
      </c>
      <c r="L45" s="6">
        <f>+[36]Main!$J$3</f>
        <v>438.4</v>
      </c>
      <c r="M45" s="9">
        <v>46244</v>
      </c>
    </row>
    <row r="46" spans="1:306" x14ac:dyDescent="0.25">
      <c r="A46" t="s">
        <v>330</v>
      </c>
      <c r="D46" s="1">
        <f t="shared" si="66"/>
        <v>36</v>
      </c>
      <c r="E46" s="13" t="s">
        <v>79</v>
      </c>
      <c r="F46" s="1" t="s">
        <v>80</v>
      </c>
      <c r="G46" s="16">
        <v>2568</v>
      </c>
      <c r="H46" s="6">
        <f>+G46*L46/JPY</f>
        <v>29689.912471602074</v>
      </c>
      <c r="I46" s="6">
        <f>([37]Main!$M$5-[37]Main!$M$6)*1000/JPY</f>
        <v>2444.7116264876413</v>
      </c>
      <c r="J46" s="6">
        <f>+H46-I46</f>
        <v>27245.200845114432</v>
      </c>
      <c r="K46" s="3" t="s">
        <v>2007</v>
      </c>
      <c r="L46" s="6">
        <f>+[37]Main!$M$3</f>
        <v>1894.3505290000001</v>
      </c>
      <c r="M46" s="9">
        <v>46232</v>
      </c>
      <c r="AN46" t="s">
        <v>2052</v>
      </c>
    </row>
    <row r="47" spans="1:306" x14ac:dyDescent="0.25">
      <c r="A47" t="s">
        <v>330</v>
      </c>
      <c r="D47" s="1">
        <f t="shared" si="66"/>
        <v>37</v>
      </c>
      <c r="E47" s="13" t="s">
        <v>77</v>
      </c>
      <c r="F47" s="1" t="s">
        <v>78</v>
      </c>
      <c r="G47" s="16">
        <v>2202</v>
      </c>
      <c r="H47" s="6">
        <f>+G47*L47/JPY</f>
        <v>24070.881504168447</v>
      </c>
      <c r="I47" s="6">
        <f>([38]Main!$K$5-[38]Main!$K$6)/JPY</f>
        <v>-1389.1119926762283</v>
      </c>
      <c r="J47" s="6">
        <f>+H47-I47</f>
        <v>25459.993496844676</v>
      </c>
      <c r="K47" s="3" t="s">
        <v>2007</v>
      </c>
      <c r="L47" s="6">
        <f>+[38]Main!$K$3</f>
        <v>1791.105329</v>
      </c>
      <c r="M47" s="9">
        <v>46235</v>
      </c>
      <c r="AL47">
        <v>1940</v>
      </c>
      <c r="AN47" t="s">
        <v>2052</v>
      </c>
    </row>
    <row r="48" spans="1:306" x14ac:dyDescent="0.25">
      <c r="A48" t="s">
        <v>330</v>
      </c>
      <c r="B48"/>
      <c r="C48"/>
      <c r="D48" s="1">
        <f t="shared" si="66"/>
        <v>38</v>
      </c>
      <c r="E48" s="13" t="s">
        <v>55</v>
      </c>
      <c r="F48" s="1" t="s">
        <v>56</v>
      </c>
      <c r="G48" s="7">
        <v>204.5</v>
      </c>
      <c r="H48" s="6">
        <f>+G48*L48</f>
        <v>27303.321178500002</v>
      </c>
      <c r="I48" s="6">
        <f>+[39]Main!$L$5-[39]Main!$L$6</f>
        <v>1999.8510000000001</v>
      </c>
      <c r="J48" s="6">
        <f>H48-I48</f>
        <v>25303.470178500003</v>
      </c>
      <c r="K48" s="3" t="s">
        <v>2007</v>
      </c>
      <c r="L48" s="6">
        <f>+[39]Main!$L$3</f>
        <v>133.512573</v>
      </c>
      <c r="M48" s="9">
        <v>46229</v>
      </c>
      <c r="W48" s="114">
        <f>($J48/$L48)/AF48</f>
        <v>22.375590719199387</v>
      </c>
      <c r="X48" s="119">
        <f t="shared" ref="X48" si="92">($J48/$L48)/AG48</f>
        <v>15.598457069269038</v>
      </c>
      <c r="Y48" s="11">
        <f t="shared" ref="Y48" si="93">($J48/$L48)/AH48</f>
        <v>12.617926324342132</v>
      </c>
      <c r="Z48" s="11">
        <f t="shared" ref="Z48" si="94">($J48/$L48)/AI48</f>
        <v>11.727800333639777</v>
      </c>
      <c r="AA48" s="11">
        <f t="shared" ref="AA48" si="95">($J48/$L48)/AJ48</f>
        <v>9.9853136665763333</v>
      </c>
      <c r="AB48" s="125">
        <v>-8.4</v>
      </c>
      <c r="AC48" s="61">
        <v>-3.66</v>
      </c>
      <c r="AD48" s="61">
        <v>-2.16</v>
      </c>
      <c r="AE48" s="61">
        <v>2.64</v>
      </c>
      <c r="AF48" s="61">
        <v>8.4700000000000006</v>
      </c>
      <c r="AG48" s="61">
        <v>12.15</v>
      </c>
      <c r="AH48" s="61">
        <v>15.02</v>
      </c>
      <c r="AI48" s="61">
        <v>16.16</v>
      </c>
      <c r="AJ48" s="61">
        <v>18.98</v>
      </c>
      <c r="AK48" s="61">
        <v>22.69</v>
      </c>
      <c r="AL48" s="1">
        <v>2002</v>
      </c>
      <c r="AM48" s="1" t="s">
        <v>605</v>
      </c>
      <c r="AN48" s="1" t="s">
        <v>2042</v>
      </c>
      <c r="AO48" s="10">
        <f>BD48/FV48-1</f>
        <v>-0.26727021249842819</v>
      </c>
      <c r="AP48" s="10">
        <f>BD48/BX48-1</f>
        <v>-3.5134777137558859E-2</v>
      </c>
      <c r="AQ48" s="10">
        <f>BD48/CA48-1</f>
        <v>-1.3976311336717395E-2</v>
      </c>
      <c r="AR48" s="122">
        <f>BD48/KT48-1</f>
        <v>-0.10647367291238607</v>
      </c>
      <c r="BD48" s="1">
        <v>291.37</v>
      </c>
      <c r="BE48" s="1">
        <v>293.17</v>
      </c>
      <c r="BF48" s="1">
        <v>294.06</v>
      </c>
      <c r="BG48" s="1">
        <v>288.18</v>
      </c>
      <c r="BH48" s="1">
        <v>286.41000000000003</v>
      </c>
      <c r="BJ48" s="1">
        <v>278.08999999999997</v>
      </c>
      <c r="BK48" s="1">
        <v>282.72000000000003</v>
      </c>
      <c r="BL48" s="1">
        <v>281.89999999999998</v>
      </c>
      <c r="BM48" s="1">
        <v>287.8</v>
      </c>
      <c r="BN48" s="1">
        <v>282.85000000000002</v>
      </c>
      <c r="BO48" s="1">
        <v>289.39</v>
      </c>
      <c r="BP48" s="1">
        <v>291.22000000000003</v>
      </c>
      <c r="BQ48" s="1">
        <v>297.69</v>
      </c>
      <c r="BR48" s="1">
        <v>292.16000000000003</v>
      </c>
      <c r="BS48" s="1">
        <v>303.05</v>
      </c>
      <c r="BT48" s="1">
        <v>303.64</v>
      </c>
      <c r="BU48" s="1">
        <v>292.58</v>
      </c>
      <c r="BV48" s="1">
        <v>286.12</v>
      </c>
      <c r="BW48" s="1">
        <v>295.63</v>
      </c>
      <c r="BX48" s="1">
        <v>301.98</v>
      </c>
      <c r="BY48" s="1">
        <v>305.06</v>
      </c>
      <c r="BZ48" s="1">
        <v>295.63</v>
      </c>
      <c r="CA48" s="1">
        <v>295.5</v>
      </c>
      <c r="CB48" s="1">
        <v>297.45</v>
      </c>
      <c r="CC48" s="1">
        <v>300.51</v>
      </c>
      <c r="CD48" s="1">
        <v>298.48</v>
      </c>
      <c r="CE48" s="1">
        <v>294.3</v>
      </c>
      <c r="CF48" s="1">
        <v>286.27</v>
      </c>
      <c r="CG48" s="1">
        <v>286.98</v>
      </c>
      <c r="CH48" s="1">
        <v>293.45</v>
      </c>
      <c r="CI48" s="1">
        <v>291.48</v>
      </c>
      <c r="CJ48" s="1">
        <v>292.02999999999997</v>
      </c>
      <c r="CK48" s="1">
        <v>284.83999999999997</v>
      </c>
      <c r="CL48" s="1">
        <v>295.05</v>
      </c>
      <c r="CM48" s="1">
        <v>295.91000000000003</v>
      </c>
      <c r="CN48" s="1">
        <v>303</v>
      </c>
      <c r="CO48" s="1">
        <v>301.11</v>
      </c>
      <c r="CP48" s="1">
        <v>297.92500000000001</v>
      </c>
      <c r="CQ48" s="1">
        <v>296.11</v>
      </c>
      <c r="CR48" s="1">
        <v>309.49</v>
      </c>
      <c r="CS48" s="1">
        <v>301.19</v>
      </c>
      <c r="CT48" s="1">
        <v>302.11</v>
      </c>
      <c r="CU48" s="1">
        <v>308.51</v>
      </c>
      <c r="CV48" s="1">
        <v>305.54000000000002</v>
      </c>
      <c r="CW48" s="1">
        <v>313.79000000000002</v>
      </c>
      <c r="CX48" s="1">
        <v>310.58</v>
      </c>
      <c r="CY48" s="1">
        <v>308.43</v>
      </c>
      <c r="CZ48" s="1">
        <v>310.94</v>
      </c>
      <c r="DA48" s="1">
        <v>309.66000000000003</v>
      </c>
      <c r="DB48" s="1">
        <v>320.13</v>
      </c>
      <c r="DC48" s="1">
        <v>333.39</v>
      </c>
      <c r="DD48" s="1">
        <v>339.41</v>
      </c>
      <c r="DE48" s="1">
        <v>333</v>
      </c>
      <c r="DF48" s="1">
        <v>322.11</v>
      </c>
      <c r="DG48" s="1">
        <v>321.27999999999997</v>
      </c>
      <c r="DH48" s="1">
        <v>327.25</v>
      </c>
      <c r="DI48" s="1">
        <v>319.52</v>
      </c>
      <c r="DJ48" s="1">
        <v>330.34</v>
      </c>
      <c r="DK48" s="1">
        <v>318.85000000000002</v>
      </c>
      <c r="DL48" s="1">
        <v>328.73</v>
      </c>
      <c r="DM48" s="1">
        <v>330.87</v>
      </c>
      <c r="DN48" s="1">
        <v>316.08999999999997</v>
      </c>
      <c r="DO48" s="1">
        <v>317.36</v>
      </c>
      <c r="DP48" s="1">
        <v>328.16</v>
      </c>
      <c r="DQ48" s="1">
        <v>328.7</v>
      </c>
      <c r="DR48" s="1">
        <v>308.05</v>
      </c>
      <c r="DS48" s="1">
        <v>306.66000000000003</v>
      </c>
      <c r="DT48" s="1">
        <v>312.17</v>
      </c>
      <c r="DU48" s="1">
        <v>311.10000000000002</v>
      </c>
      <c r="DV48" s="1">
        <v>314.8</v>
      </c>
      <c r="DW48" s="1">
        <v>320.42</v>
      </c>
      <c r="DX48" s="1">
        <v>318.91000000000003</v>
      </c>
      <c r="DY48" s="1">
        <v>313.41000000000003</v>
      </c>
      <c r="DZ48" s="1">
        <v>317.23</v>
      </c>
      <c r="EA48" s="1">
        <v>320.43</v>
      </c>
      <c r="EB48" s="1">
        <v>322.38</v>
      </c>
      <c r="EC48" s="1">
        <v>323.58999999999997</v>
      </c>
      <c r="ED48" s="1">
        <v>320.66000000000003</v>
      </c>
      <c r="EE48" s="1">
        <v>320.51</v>
      </c>
      <c r="EF48" s="1">
        <v>327.3</v>
      </c>
      <c r="EG48" s="1">
        <v>318.64999999999998</v>
      </c>
      <c r="EH48" s="1">
        <v>325.07</v>
      </c>
      <c r="EI48" s="1">
        <v>332.92</v>
      </c>
      <c r="EJ48" s="1">
        <v>331.24</v>
      </c>
      <c r="EK48" s="1">
        <v>327.36</v>
      </c>
      <c r="EL48" s="1">
        <v>332.85</v>
      </c>
      <c r="EM48" s="1">
        <v>329.35</v>
      </c>
      <c r="EN48" s="1">
        <v>336.19</v>
      </c>
      <c r="EO48" s="1">
        <v>339.37</v>
      </c>
      <c r="EP48" s="1">
        <v>332.68</v>
      </c>
      <c r="EQ48" s="1">
        <v>332.61</v>
      </c>
      <c r="ER48" s="1">
        <v>314.39999999999998</v>
      </c>
      <c r="ES48" s="1">
        <v>308.48</v>
      </c>
      <c r="ET48" s="1">
        <v>322.27999999999997</v>
      </c>
      <c r="EU48" s="1">
        <v>322.98</v>
      </c>
      <c r="EV48" s="1">
        <v>320</v>
      </c>
      <c r="EW48" s="1">
        <v>328.16</v>
      </c>
      <c r="EX48" s="1">
        <v>331.24</v>
      </c>
      <c r="EY48" s="1">
        <v>351.96</v>
      </c>
      <c r="EZ48" s="1">
        <v>351.8</v>
      </c>
      <c r="FA48" s="1">
        <v>339.11</v>
      </c>
      <c r="FB48" s="1">
        <v>338.06</v>
      </c>
      <c r="FC48" s="1">
        <v>346.79</v>
      </c>
      <c r="FD48" s="1">
        <v>349.58</v>
      </c>
      <c r="FE48" s="1">
        <v>354.75</v>
      </c>
      <c r="FF48" s="1">
        <v>361.35</v>
      </c>
      <c r="FG48" s="1">
        <v>357.98</v>
      </c>
      <c r="FH48" s="1">
        <v>370</v>
      </c>
      <c r="FI48" s="1">
        <v>365.46</v>
      </c>
      <c r="FJ48" s="1">
        <v>355.53</v>
      </c>
      <c r="FK48" s="1">
        <v>359.27</v>
      </c>
      <c r="FL48" s="1">
        <v>359.26</v>
      </c>
      <c r="FM48" s="1">
        <v>366.86</v>
      </c>
      <c r="FN48" s="1">
        <v>369.96</v>
      </c>
      <c r="FO48" s="1">
        <v>370.91</v>
      </c>
      <c r="FP48" s="1">
        <v>398.29</v>
      </c>
      <c r="FQ48" s="1">
        <v>399.4</v>
      </c>
      <c r="FR48" s="1">
        <v>422.5</v>
      </c>
      <c r="FS48" s="1">
        <v>406.4</v>
      </c>
      <c r="FT48" s="1">
        <v>397.83</v>
      </c>
      <c r="FU48" s="1">
        <v>400.17</v>
      </c>
      <c r="FV48" s="1">
        <v>397.65</v>
      </c>
      <c r="FW48" s="1">
        <v>397.25</v>
      </c>
      <c r="FX48" s="1">
        <v>398.82</v>
      </c>
      <c r="FY48" s="1">
        <v>400.59</v>
      </c>
      <c r="FZ48" s="1">
        <v>400.69</v>
      </c>
      <c r="GA48" s="1">
        <v>398.7</v>
      </c>
      <c r="GB48" s="1">
        <v>407.73</v>
      </c>
      <c r="GC48" s="1">
        <v>400.23</v>
      </c>
      <c r="GD48" s="1">
        <v>396.04</v>
      </c>
      <c r="GE48" s="1">
        <v>392.1</v>
      </c>
      <c r="GF48" s="1">
        <v>391.17</v>
      </c>
      <c r="GG48" s="1">
        <v>391.5</v>
      </c>
      <c r="GH48" s="1">
        <v>397.55</v>
      </c>
      <c r="GI48" s="1">
        <v>412.63</v>
      </c>
      <c r="GJ48" s="1">
        <v>404.46</v>
      </c>
      <c r="GK48" s="1">
        <v>415.21</v>
      </c>
      <c r="GL48" s="1">
        <v>430.02</v>
      </c>
      <c r="GM48" s="1">
        <v>458.12</v>
      </c>
      <c r="GN48" s="1">
        <v>465.34</v>
      </c>
      <c r="GO48" s="1">
        <v>473.29</v>
      </c>
      <c r="GP48" s="1">
        <v>464.93</v>
      </c>
      <c r="GQ48" s="1">
        <v>454.56</v>
      </c>
      <c r="GR48" s="1">
        <v>451.23</v>
      </c>
      <c r="GS48" s="1">
        <v>445.12</v>
      </c>
      <c r="GT48" s="1">
        <v>429.8</v>
      </c>
      <c r="GU48" s="1">
        <v>434.23</v>
      </c>
      <c r="GV48" s="1">
        <v>436.38</v>
      </c>
      <c r="GW48" s="1">
        <v>445.79</v>
      </c>
      <c r="GX48" s="1">
        <v>460.76</v>
      </c>
      <c r="GY48" s="1">
        <v>462.3</v>
      </c>
      <c r="GZ48" s="1">
        <v>460.54</v>
      </c>
      <c r="HA48" s="1">
        <v>449.16</v>
      </c>
      <c r="HB48" s="1">
        <v>453.97</v>
      </c>
      <c r="HC48" s="1">
        <v>452.74</v>
      </c>
      <c r="HD48" s="1">
        <v>451.95</v>
      </c>
      <c r="HE48" s="1">
        <v>441.7</v>
      </c>
      <c r="HF48" s="1">
        <v>442.7</v>
      </c>
      <c r="HG48" s="1">
        <v>440.49</v>
      </c>
      <c r="HH48" s="1">
        <v>434.56</v>
      </c>
      <c r="HI48" s="1">
        <v>423.47</v>
      </c>
      <c r="HJ48" s="1">
        <v>434.07</v>
      </c>
      <c r="HK48" s="1">
        <v>456.04</v>
      </c>
      <c r="HL48" s="1">
        <v>449.56</v>
      </c>
      <c r="HM48" s="1">
        <v>481.59</v>
      </c>
      <c r="HN48" s="1">
        <v>475.91</v>
      </c>
      <c r="HO48" s="1">
        <v>478.58</v>
      </c>
      <c r="HP48" s="1">
        <v>463.43</v>
      </c>
      <c r="HQ48" s="1">
        <v>464</v>
      </c>
      <c r="HR48" s="1">
        <v>464.9</v>
      </c>
      <c r="HS48" s="1">
        <v>474</v>
      </c>
      <c r="HT48" s="1">
        <v>491.22</v>
      </c>
      <c r="HU48" s="1">
        <v>481.67</v>
      </c>
      <c r="HV48" s="1">
        <v>481.07</v>
      </c>
      <c r="HW48" s="1">
        <v>470.27</v>
      </c>
      <c r="HX48" s="1">
        <v>469.36</v>
      </c>
      <c r="HY48" s="1">
        <v>464.95</v>
      </c>
      <c r="HZ48" s="1">
        <v>460.46</v>
      </c>
      <c r="IA48" s="1">
        <v>456.95</v>
      </c>
      <c r="IB48" s="1">
        <v>450.68</v>
      </c>
      <c r="IC48" s="1">
        <v>459.58</v>
      </c>
      <c r="ID48" s="1">
        <v>452</v>
      </c>
      <c r="IE48" s="1">
        <v>456.35</v>
      </c>
      <c r="IF48" s="1">
        <v>460.99</v>
      </c>
      <c r="IG48" s="1">
        <v>460.65</v>
      </c>
      <c r="IH48" s="1">
        <v>456</v>
      </c>
      <c r="II48" s="1">
        <v>447.49</v>
      </c>
      <c r="IJ48" s="1">
        <v>446.4</v>
      </c>
      <c r="IK48" s="1">
        <v>449.58</v>
      </c>
      <c r="IL48" s="1">
        <v>458.37</v>
      </c>
      <c r="IM48" s="1">
        <v>454.41</v>
      </c>
      <c r="IN48" s="1">
        <v>458.92</v>
      </c>
      <c r="IO48" s="1">
        <v>453.56</v>
      </c>
      <c r="IP48" s="1">
        <v>452.17</v>
      </c>
      <c r="IQ48" s="1">
        <v>451.72500000000002</v>
      </c>
      <c r="IR48" s="1">
        <v>461.24</v>
      </c>
      <c r="IS48" s="1">
        <v>461.14</v>
      </c>
      <c r="IT48" s="1">
        <v>465.89</v>
      </c>
      <c r="IU48" s="1">
        <v>468.58</v>
      </c>
      <c r="IV48" s="1">
        <v>469.31</v>
      </c>
      <c r="IW48" s="1">
        <v>482.13</v>
      </c>
      <c r="IX48" s="1">
        <v>455.03</v>
      </c>
      <c r="IY48" s="1">
        <v>452</v>
      </c>
      <c r="IZ48" s="1">
        <v>453.54</v>
      </c>
      <c r="JA48" s="1">
        <v>447.43</v>
      </c>
      <c r="JB48" s="1">
        <v>447</v>
      </c>
      <c r="JC48" s="1">
        <v>446.51</v>
      </c>
      <c r="JD48" s="1">
        <v>452.33</v>
      </c>
      <c r="JE48" s="1">
        <v>454.18</v>
      </c>
      <c r="JF48" s="1">
        <v>451.2</v>
      </c>
      <c r="JG48" s="1">
        <v>443.64</v>
      </c>
      <c r="JH48" s="1">
        <v>454.38</v>
      </c>
      <c r="JI48" s="1">
        <v>467.55</v>
      </c>
      <c r="JJ48" s="1">
        <v>458.31</v>
      </c>
      <c r="JK48" s="1">
        <v>458.28</v>
      </c>
      <c r="JL48" s="1">
        <v>456.87</v>
      </c>
      <c r="JM48" s="1">
        <v>448.91</v>
      </c>
      <c r="JN48" s="1">
        <v>442.73</v>
      </c>
      <c r="JO48" s="1">
        <v>432.52</v>
      </c>
      <c r="JP48" s="1">
        <v>429.93</v>
      </c>
      <c r="JQ48" s="1">
        <v>435</v>
      </c>
      <c r="JR48" s="1">
        <v>438.93</v>
      </c>
      <c r="JS48" s="1">
        <v>435.1</v>
      </c>
      <c r="JT48" s="1">
        <v>428.14</v>
      </c>
      <c r="JU48" s="1">
        <v>418.91</v>
      </c>
      <c r="JV48" s="1">
        <v>419.55500000000001</v>
      </c>
      <c r="JW48" s="1">
        <v>401.8</v>
      </c>
      <c r="JX48" s="1">
        <v>392.24</v>
      </c>
      <c r="JY48" s="1">
        <v>339.8</v>
      </c>
      <c r="JZ48" s="1">
        <v>330.55</v>
      </c>
      <c r="KA48" s="1">
        <v>324.79000000000002</v>
      </c>
      <c r="KB48" s="1">
        <v>328.81</v>
      </c>
      <c r="KC48" s="1">
        <v>328</v>
      </c>
      <c r="KD48" s="1">
        <v>325.64</v>
      </c>
      <c r="KE48" s="1">
        <v>325.27999999999997</v>
      </c>
      <c r="KF48" s="1">
        <v>320.52</v>
      </c>
      <c r="KG48" s="1">
        <v>320.52999999999997</v>
      </c>
      <c r="KH48" s="1">
        <v>324.69</v>
      </c>
      <c r="KI48" s="1">
        <v>322.81</v>
      </c>
      <c r="KJ48" s="1">
        <v>311.12</v>
      </c>
      <c r="KK48" s="1">
        <v>315.75</v>
      </c>
      <c r="KL48" s="1">
        <v>314.94</v>
      </c>
      <c r="KM48" s="1">
        <v>322.64</v>
      </c>
      <c r="KN48" s="1">
        <v>320.87</v>
      </c>
      <c r="KO48" s="1">
        <v>317.5</v>
      </c>
      <c r="KP48" s="1">
        <v>324.13</v>
      </c>
      <c r="KQ48" s="1">
        <v>331.91</v>
      </c>
      <c r="KR48" s="1">
        <v>329.77</v>
      </c>
      <c r="KS48" s="1">
        <v>322.06</v>
      </c>
      <c r="KT48" s="1">
        <v>326.08999999999997</v>
      </c>
    </row>
    <row r="49" spans="1:306" x14ac:dyDescent="0.25">
      <c r="A49" t="s">
        <v>330</v>
      </c>
      <c r="B49"/>
      <c r="C49"/>
      <c r="D49">
        <f t="shared" si="66"/>
        <v>39</v>
      </c>
      <c r="E49" s="5" t="s">
        <v>346</v>
      </c>
      <c r="F49" t="s">
        <v>687</v>
      </c>
      <c r="G49" s="3">
        <v>36.340000000000003</v>
      </c>
      <c r="H49" s="6">
        <f>+G49*L49</f>
        <v>25930.387303719999</v>
      </c>
      <c r="I49" s="6">
        <f>+[40]Main!$K$5-[40]Main!$K$6</f>
        <v>5436.5479999999998</v>
      </c>
      <c r="J49" s="6">
        <f>+H49-I49</f>
        <v>20493.83930372</v>
      </c>
      <c r="K49" s="3" t="s">
        <v>1066</v>
      </c>
      <c r="L49" s="6">
        <f>+[40]Main!$K$3</f>
        <v>713.54945799999996</v>
      </c>
      <c r="M49" s="9">
        <v>45540</v>
      </c>
    </row>
    <row r="50" spans="1:306" x14ac:dyDescent="0.25">
      <c r="A50" t="s">
        <v>330</v>
      </c>
      <c r="B50"/>
      <c r="C50"/>
      <c r="D50" s="1">
        <f t="shared" si="66"/>
        <v>40</v>
      </c>
      <c r="E50" s="5" t="s">
        <v>57</v>
      </c>
      <c r="F50" s="1" t="s">
        <v>58</v>
      </c>
      <c r="G50" s="3">
        <v>28.87</v>
      </c>
      <c r="H50" s="6">
        <f>+G50*L50*10</f>
        <v>18547.050237100004</v>
      </c>
      <c r="I50" s="6">
        <f>([41]Main!$K$7-[41]Main!$K$8)</f>
        <v>-3647</v>
      </c>
      <c r="J50" s="6">
        <f>H50-I50</f>
        <v>22194.050237100004</v>
      </c>
      <c r="K50" s="3" t="s">
        <v>2007</v>
      </c>
      <c r="L50" s="6">
        <f>+[41]Main!$K$4</f>
        <v>64.243333000000007</v>
      </c>
      <c r="M50" s="9">
        <v>46235</v>
      </c>
      <c r="AL50" s="1">
        <v>1999</v>
      </c>
      <c r="AN50" t="s">
        <v>1121</v>
      </c>
    </row>
    <row r="51" spans="1:306" x14ac:dyDescent="0.25">
      <c r="A51" t="s">
        <v>330</v>
      </c>
      <c r="B51"/>
      <c r="C51"/>
      <c r="D51" s="1">
        <f>+D50</f>
        <v>40</v>
      </c>
      <c r="E51" s="5" t="s">
        <v>57</v>
      </c>
      <c r="F51" t="s">
        <v>510</v>
      </c>
      <c r="G51" s="54">
        <v>1858.5</v>
      </c>
      <c r="H51" s="6">
        <f>+G51*L51/DKK</f>
        <v>18414.83017112143</v>
      </c>
      <c r="I51" s="6">
        <f>+I50</f>
        <v>-3647</v>
      </c>
      <c r="J51" s="6">
        <f>H51-I51</f>
        <v>22061.83017112143</v>
      </c>
      <c r="K51" s="3" t="s">
        <v>2007</v>
      </c>
      <c r="L51" s="6">
        <f>+[41]Main!$K$4</f>
        <v>64.243333000000007</v>
      </c>
      <c r="M51" s="9">
        <f>+M50</f>
        <v>46235</v>
      </c>
      <c r="AL51" s="1">
        <v>1999</v>
      </c>
      <c r="AN51" t="s">
        <v>1121</v>
      </c>
    </row>
    <row r="52" spans="1:306" x14ac:dyDescent="0.25">
      <c r="B52"/>
      <c r="C52"/>
      <c r="D52" s="1">
        <f t="shared" ref="D52:D88" si="96">+D51+1</f>
        <v>41</v>
      </c>
      <c r="E52" s="13" t="s">
        <v>63</v>
      </c>
      <c r="F52" s="1" t="s">
        <v>64</v>
      </c>
      <c r="G52" s="3">
        <v>26.16</v>
      </c>
      <c r="H52" s="6">
        <f t="shared" ref="H52:H59" si="97">+G52*L52</f>
        <v>13510.829249280001</v>
      </c>
      <c r="I52" s="6">
        <f>+[42]Main!$K$5-[42]Main!$K$6</f>
        <v>-7446</v>
      </c>
      <c r="J52" s="6">
        <f>+H52-I52</f>
        <v>20956.829249280003</v>
      </c>
      <c r="K52" s="3" t="s">
        <v>2007</v>
      </c>
      <c r="L52" s="6">
        <f>+[42]Main!$K$3</f>
        <v>516.46900800000003</v>
      </c>
      <c r="M52" s="9">
        <v>46232</v>
      </c>
      <c r="AL52" s="1">
        <v>1931</v>
      </c>
      <c r="AN52" t="s">
        <v>2042</v>
      </c>
      <c r="AO52" s="10">
        <f>BD52/FV52-1</f>
        <v>0.15332286760858183</v>
      </c>
      <c r="AP52" s="10">
        <f>BD52/BX52-1</f>
        <v>0.17358892438764628</v>
      </c>
      <c r="AQ52" s="10">
        <f>BD52/CA52-1</f>
        <v>0.13725490196078427</v>
      </c>
      <c r="AR52" s="122">
        <f>BD52/KT52-1</f>
        <v>-0.27212681638044922</v>
      </c>
      <c r="BD52" s="1">
        <v>22.04</v>
      </c>
      <c r="BE52" s="1">
        <v>21.55</v>
      </c>
      <c r="BF52" s="1">
        <v>21.04</v>
      </c>
      <c r="BG52" s="1">
        <v>20.100000000000001</v>
      </c>
      <c r="BH52" s="1">
        <v>19.66</v>
      </c>
      <c r="BJ52" s="1">
        <v>19.89</v>
      </c>
      <c r="BK52" s="1">
        <v>19.39</v>
      </c>
      <c r="BL52" s="1">
        <v>20.46</v>
      </c>
      <c r="BM52" s="1">
        <v>20.81</v>
      </c>
      <c r="BN52" s="1">
        <v>20.86</v>
      </c>
      <c r="BO52" s="1">
        <v>20.49</v>
      </c>
      <c r="BP52" s="1">
        <v>20.309999999999999</v>
      </c>
      <c r="BQ52" s="1">
        <v>20.03</v>
      </c>
      <c r="BR52" s="1">
        <v>19.239999999999998</v>
      </c>
      <c r="BS52" s="1">
        <v>19.38</v>
      </c>
      <c r="BT52" s="1">
        <v>19.350000000000001</v>
      </c>
      <c r="BU52" s="1">
        <v>18.54</v>
      </c>
      <c r="BV52" s="1">
        <v>18.68</v>
      </c>
      <c r="BW52" s="1">
        <v>18.399999999999999</v>
      </c>
      <c r="BX52" s="1">
        <v>18.78</v>
      </c>
      <c r="BY52" s="1">
        <v>19.25</v>
      </c>
      <c r="BZ52" s="1">
        <v>19.329999999999998</v>
      </c>
      <c r="CA52" s="1">
        <v>19.38</v>
      </c>
      <c r="CB52" s="1">
        <v>19.18</v>
      </c>
      <c r="CC52" s="1">
        <v>19.03</v>
      </c>
      <c r="CD52" s="1">
        <v>18.77</v>
      </c>
      <c r="CE52" s="1">
        <v>18.329999999999998</v>
      </c>
      <c r="CF52" s="1">
        <v>17.79</v>
      </c>
      <c r="CG52" s="1">
        <v>17.3</v>
      </c>
      <c r="CH52" s="1">
        <v>17.78</v>
      </c>
      <c r="CI52" s="1">
        <v>17.309999999999999</v>
      </c>
      <c r="CJ52" s="1">
        <v>17.89</v>
      </c>
      <c r="CK52" s="1">
        <v>17.53</v>
      </c>
      <c r="CL52" s="1">
        <v>17.989999999999998</v>
      </c>
      <c r="CM52" s="1">
        <v>17.489999999999998</v>
      </c>
      <c r="CN52" s="1">
        <v>16.98</v>
      </c>
      <c r="CO52" s="1">
        <v>16.75</v>
      </c>
      <c r="CP52" s="1">
        <v>16.62</v>
      </c>
      <c r="CQ52" s="1">
        <v>17.21</v>
      </c>
      <c r="CR52" s="1">
        <v>17.579999999999998</v>
      </c>
      <c r="CS52" s="1">
        <v>16.899999999999999</v>
      </c>
      <c r="CT52" s="1">
        <v>17.940000000000001</v>
      </c>
      <c r="CU52" s="1">
        <v>18.489999999999998</v>
      </c>
      <c r="CV52" s="1">
        <v>18.16</v>
      </c>
      <c r="CW52" s="1">
        <v>18.41</v>
      </c>
      <c r="CX52" s="1">
        <v>18.309999999999999</v>
      </c>
      <c r="CY52" s="1">
        <v>18.489999999999998</v>
      </c>
      <c r="CZ52" s="1">
        <v>18.84</v>
      </c>
      <c r="DA52" s="1">
        <v>18.71</v>
      </c>
      <c r="DB52" s="1">
        <v>18.14</v>
      </c>
      <c r="DC52" s="1">
        <v>17.600000000000001</v>
      </c>
      <c r="DD52" s="1">
        <v>17.59</v>
      </c>
      <c r="DE52" s="1">
        <v>17.63</v>
      </c>
      <c r="DF52" s="1">
        <v>17.149999999999999</v>
      </c>
      <c r="DG52" s="1">
        <v>17.3</v>
      </c>
      <c r="DH52" s="1">
        <v>17.239999999999998</v>
      </c>
      <c r="DI52" s="1">
        <v>16.62</v>
      </c>
      <c r="DJ52" s="1">
        <v>16.649999999999999</v>
      </c>
      <c r="DK52" s="1">
        <v>16.68</v>
      </c>
      <c r="DL52" s="1">
        <v>16.78</v>
      </c>
      <c r="DM52" s="1">
        <v>16.8</v>
      </c>
      <c r="DN52" s="1">
        <v>15.8</v>
      </c>
      <c r="DO52" s="1">
        <v>15.97</v>
      </c>
      <c r="DP52" s="1">
        <v>16.670000000000002</v>
      </c>
      <c r="DQ52" s="1">
        <v>17.12</v>
      </c>
      <c r="DR52" s="1">
        <v>16.72</v>
      </c>
      <c r="DS52" s="1">
        <v>16.61</v>
      </c>
      <c r="DT52" s="1">
        <v>16.149999999999999</v>
      </c>
      <c r="DU52" s="1">
        <v>16.66</v>
      </c>
      <c r="DV52" s="1">
        <v>17.09</v>
      </c>
      <c r="DW52" s="1">
        <v>17.62</v>
      </c>
      <c r="DX52" s="1">
        <v>17.079999999999998</v>
      </c>
      <c r="DY52" s="1">
        <v>17.399999999999999</v>
      </c>
      <c r="DZ52" s="1">
        <v>18.010000000000002</v>
      </c>
      <c r="EA52" s="1">
        <v>18.05</v>
      </c>
      <c r="EB52" s="1">
        <v>17.46</v>
      </c>
      <c r="EC52" s="1">
        <v>17.91</v>
      </c>
      <c r="ED52" s="1">
        <v>17.690000000000001</v>
      </c>
      <c r="EE52" s="1">
        <v>18.600000000000001</v>
      </c>
      <c r="EF52" s="1">
        <v>19.03</v>
      </c>
      <c r="EG52" s="1">
        <v>19.03</v>
      </c>
      <c r="EH52" s="1">
        <v>19.690000000000001</v>
      </c>
      <c r="EI52" s="1">
        <v>20.37</v>
      </c>
      <c r="EJ52" s="1">
        <v>20.36</v>
      </c>
      <c r="EK52" s="1">
        <v>20.73</v>
      </c>
      <c r="EL52" s="1">
        <v>20.63</v>
      </c>
      <c r="EM52" s="1">
        <v>21.26</v>
      </c>
      <c r="EN52" s="1">
        <v>21.58</v>
      </c>
      <c r="EO52" s="1">
        <v>21.34</v>
      </c>
      <c r="EP52" s="1">
        <v>21.87</v>
      </c>
      <c r="EQ52" s="1">
        <v>20.74</v>
      </c>
      <c r="ER52" s="1">
        <v>19.79</v>
      </c>
      <c r="ES52" s="1">
        <v>18.71</v>
      </c>
      <c r="ET52" s="1">
        <v>22.27</v>
      </c>
      <c r="EU52" s="1">
        <v>21.94</v>
      </c>
      <c r="EV52" s="1">
        <v>21.73</v>
      </c>
      <c r="EW52" s="1">
        <v>21.73</v>
      </c>
      <c r="EX52" s="1">
        <v>21.77</v>
      </c>
      <c r="EY52" s="1">
        <v>21.03</v>
      </c>
      <c r="EZ52" s="1">
        <v>19.91</v>
      </c>
      <c r="FA52" s="1">
        <v>19.87</v>
      </c>
      <c r="FB52" s="1">
        <v>20.07</v>
      </c>
      <c r="FC52" s="1">
        <v>19.73</v>
      </c>
      <c r="FD52" s="1">
        <v>19.61</v>
      </c>
      <c r="FE52" s="1">
        <v>19.57</v>
      </c>
      <c r="FF52" s="1">
        <v>19.649999999999999</v>
      </c>
      <c r="FG52" s="1">
        <v>19.84</v>
      </c>
      <c r="FH52" s="1">
        <v>20.07</v>
      </c>
      <c r="FI52" s="1">
        <v>19.71</v>
      </c>
      <c r="FJ52" s="1">
        <v>19.38</v>
      </c>
      <c r="FK52" s="1">
        <v>20.11</v>
      </c>
      <c r="FL52" s="1">
        <v>20.37</v>
      </c>
      <c r="FM52" s="1">
        <v>19.84</v>
      </c>
      <c r="FN52" s="1">
        <v>19.649999999999999</v>
      </c>
      <c r="FO52" s="1">
        <v>20.149999999999999</v>
      </c>
      <c r="FP52" s="1">
        <v>21.07</v>
      </c>
      <c r="FQ52" s="1">
        <v>20.69</v>
      </c>
      <c r="FR52" s="1">
        <v>20.399999999999999</v>
      </c>
      <c r="FS52" s="1">
        <v>20.55</v>
      </c>
      <c r="FT52" s="1">
        <v>19.89</v>
      </c>
      <c r="FU52" s="1">
        <v>19.5</v>
      </c>
      <c r="FV52" s="1">
        <v>19.11</v>
      </c>
      <c r="FW52" s="1">
        <v>19.3</v>
      </c>
      <c r="FX52" s="1">
        <v>19.25</v>
      </c>
      <c r="FY52" s="1">
        <v>19.38</v>
      </c>
      <c r="FZ52" s="1">
        <v>19.11</v>
      </c>
      <c r="GA52" s="1">
        <v>18.93</v>
      </c>
      <c r="GB52" s="1">
        <v>18.98</v>
      </c>
      <c r="GC52" s="1">
        <v>18.96</v>
      </c>
      <c r="GD52" s="1">
        <v>19.07</v>
      </c>
      <c r="GE52" s="1">
        <v>19.29</v>
      </c>
      <c r="GF52" s="1">
        <v>19.05</v>
      </c>
      <c r="GG52" s="1">
        <v>19.53</v>
      </c>
      <c r="GH52" s="1">
        <v>19.149999999999999</v>
      </c>
      <c r="GI52" s="1">
        <v>18.899999999999999</v>
      </c>
      <c r="GJ52" s="1">
        <v>18.260000000000002</v>
      </c>
      <c r="GK52" s="1">
        <v>18.16</v>
      </c>
      <c r="GL52" s="1">
        <v>18.16</v>
      </c>
      <c r="GM52" s="1">
        <v>18.54</v>
      </c>
      <c r="GN52" s="1">
        <v>18.48</v>
      </c>
      <c r="GO52" s="1">
        <v>18.89</v>
      </c>
      <c r="GP52" s="1">
        <v>18.84</v>
      </c>
      <c r="GQ52" s="1">
        <v>19.079999999999998</v>
      </c>
      <c r="GR52" s="1">
        <v>18.739999999999998</v>
      </c>
      <c r="GS52" s="1">
        <v>18.91</v>
      </c>
      <c r="GT52" s="1">
        <v>18.66</v>
      </c>
      <c r="GU52" s="1">
        <v>18.18</v>
      </c>
      <c r="GV52" s="1">
        <v>18.309999999999999</v>
      </c>
      <c r="GW52" s="1">
        <v>17.420000000000002</v>
      </c>
      <c r="GX52" s="1">
        <v>17.690000000000001</v>
      </c>
      <c r="GY52" s="1">
        <v>18.149999999999999</v>
      </c>
      <c r="GZ52" s="1">
        <v>17.77</v>
      </c>
      <c r="HA52" s="1">
        <v>18.47</v>
      </c>
      <c r="HB52" s="1">
        <v>18.7</v>
      </c>
      <c r="HC52" s="1">
        <v>18.7</v>
      </c>
      <c r="HD52" s="1">
        <v>18.25</v>
      </c>
      <c r="HE52" s="1">
        <v>17.75</v>
      </c>
      <c r="HF52" s="1">
        <v>18</v>
      </c>
      <c r="HG52" s="1">
        <v>17.98</v>
      </c>
      <c r="HH52" s="1">
        <v>17.95</v>
      </c>
      <c r="HI52" s="1">
        <v>17.940000000000001</v>
      </c>
      <c r="HJ52" s="1">
        <v>18.21</v>
      </c>
      <c r="HK52" s="1">
        <v>18.47</v>
      </c>
      <c r="HL52" s="1">
        <v>19.16</v>
      </c>
      <c r="HM52" s="1">
        <v>22.42</v>
      </c>
      <c r="HN52" s="1">
        <v>22.86</v>
      </c>
      <c r="HO52" s="1">
        <v>23.17</v>
      </c>
      <c r="HP52" s="1">
        <v>23.02</v>
      </c>
      <c r="HQ52" s="1">
        <v>22.99</v>
      </c>
      <c r="HR52" s="1">
        <v>22.93</v>
      </c>
      <c r="HS52" s="1">
        <v>22.75</v>
      </c>
      <c r="HT52" s="1">
        <v>23.13</v>
      </c>
      <c r="HU52" s="1">
        <v>23.09</v>
      </c>
      <c r="HV52" s="1">
        <v>22.97</v>
      </c>
      <c r="HW52" s="1">
        <v>22.75</v>
      </c>
      <c r="HX52" s="1">
        <v>22.82</v>
      </c>
      <c r="HY52" s="1">
        <v>22.11</v>
      </c>
      <c r="HZ52" s="1">
        <v>21.95</v>
      </c>
      <c r="IA52" s="1">
        <v>22.51</v>
      </c>
      <c r="IB52" s="1">
        <v>22.75</v>
      </c>
      <c r="IC52" s="1">
        <v>22.9</v>
      </c>
      <c r="ID52" s="1">
        <v>23.15</v>
      </c>
      <c r="IE52" s="1">
        <v>23.86</v>
      </c>
      <c r="IF52" s="1">
        <v>23.23</v>
      </c>
      <c r="IG52" s="1">
        <v>23.36</v>
      </c>
      <c r="IH52" s="1">
        <v>22.77</v>
      </c>
      <c r="II52" s="1">
        <v>22.38</v>
      </c>
      <c r="IJ52" s="1">
        <v>21.98</v>
      </c>
      <c r="IK52" s="1">
        <v>21.71</v>
      </c>
      <c r="IL52" s="1">
        <v>22.56</v>
      </c>
      <c r="IM52" s="1">
        <v>22.86</v>
      </c>
      <c r="IN52" s="1">
        <v>22.81</v>
      </c>
      <c r="IO52" s="1">
        <v>23.02</v>
      </c>
      <c r="IP52" s="1">
        <v>23.69</v>
      </c>
      <c r="IQ52" s="1">
        <v>23.2</v>
      </c>
      <c r="IR52" s="1">
        <v>23.87</v>
      </c>
      <c r="IS52" s="1">
        <v>23.8</v>
      </c>
      <c r="IT52" s="1">
        <v>23.99</v>
      </c>
      <c r="IU52" s="1">
        <v>24.49</v>
      </c>
      <c r="IV52" s="1">
        <v>23.98</v>
      </c>
      <c r="IW52" s="1">
        <v>24.45</v>
      </c>
      <c r="IX52" s="1">
        <v>24.09</v>
      </c>
      <c r="IY52" s="1">
        <v>24.42</v>
      </c>
      <c r="IZ52" s="1">
        <v>23.58</v>
      </c>
      <c r="JA52" s="1">
        <v>23.54</v>
      </c>
      <c r="JB52" s="1">
        <v>24.17</v>
      </c>
      <c r="JC52" s="1">
        <v>24.69</v>
      </c>
      <c r="JD52" s="1">
        <v>24.4</v>
      </c>
      <c r="JE52" s="1">
        <v>24.53</v>
      </c>
      <c r="JF52" s="1">
        <v>24.5</v>
      </c>
      <c r="JG52" s="1">
        <v>24.56</v>
      </c>
      <c r="JH52" s="1">
        <v>24.54</v>
      </c>
      <c r="JI52" s="1">
        <v>23.85</v>
      </c>
      <c r="JJ52" s="1">
        <v>24.27</v>
      </c>
      <c r="JK52" s="1">
        <v>24.33</v>
      </c>
      <c r="JL52" s="1">
        <v>23.61</v>
      </c>
      <c r="JM52" s="1">
        <v>24.18</v>
      </c>
      <c r="JN52" s="1">
        <v>24.45</v>
      </c>
      <c r="JO52" s="1">
        <v>24.11</v>
      </c>
      <c r="JP52" s="1">
        <v>23.98</v>
      </c>
      <c r="JQ52" s="1">
        <v>23.46</v>
      </c>
      <c r="JR52" s="1">
        <v>23.69</v>
      </c>
      <c r="JS52" s="1">
        <v>23.54</v>
      </c>
      <c r="JT52" s="1">
        <v>22.5</v>
      </c>
      <c r="JU52" s="1">
        <v>22.84</v>
      </c>
      <c r="JV52" s="1">
        <v>22.44</v>
      </c>
      <c r="JW52" s="1">
        <v>21.96</v>
      </c>
      <c r="JX52" s="1">
        <v>21.76</v>
      </c>
      <c r="JY52" s="1">
        <v>28.05</v>
      </c>
      <c r="JZ52" s="1">
        <v>28.84</v>
      </c>
      <c r="KA52" s="1">
        <v>28.52</v>
      </c>
      <c r="KB52" s="1">
        <v>29.22</v>
      </c>
      <c r="KC52" s="1">
        <v>28.77</v>
      </c>
      <c r="KD52" s="1">
        <v>28.56</v>
      </c>
      <c r="KE52" s="1">
        <v>27.51</v>
      </c>
      <c r="KF52" s="1">
        <v>27.37</v>
      </c>
      <c r="KG52" s="1">
        <v>27.77</v>
      </c>
      <c r="KH52" s="1">
        <v>27.89</v>
      </c>
      <c r="KI52" s="1">
        <v>28.37</v>
      </c>
      <c r="KJ52" s="1">
        <v>28.25</v>
      </c>
      <c r="KK52" s="1">
        <v>28.53</v>
      </c>
      <c r="KL52" s="1">
        <v>28.7</v>
      </c>
      <c r="KM52" s="1">
        <v>29.7</v>
      </c>
      <c r="KN52" s="1">
        <v>29.81</v>
      </c>
      <c r="KO52" s="1">
        <v>30.66</v>
      </c>
      <c r="KP52" s="1">
        <v>29.69</v>
      </c>
      <c r="KQ52" s="1">
        <v>31.01</v>
      </c>
      <c r="KR52" s="1">
        <v>31.13</v>
      </c>
      <c r="KS52" s="1">
        <v>31.23</v>
      </c>
      <c r="KT52" s="1">
        <v>30.28</v>
      </c>
    </row>
    <row r="53" spans="1:306" x14ac:dyDescent="0.25">
      <c r="A53" s="1" t="s">
        <v>330</v>
      </c>
      <c r="B53">
        <v>1</v>
      </c>
      <c r="C53">
        <v>3</v>
      </c>
      <c r="D53" s="1">
        <f t="shared" si="96"/>
        <v>42</v>
      </c>
      <c r="E53" s="5" t="s">
        <v>171</v>
      </c>
      <c r="F53" s="1" t="s">
        <v>172</v>
      </c>
      <c r="G53" s="7">
        <v>98.6</v>
      </c>
      <c r="H53" s="6">
        <f t="shared" si="97"/>
        <v>21371.791668599999</v>
      </c>
      <c r="I53" s="6">
        <f>+[43]Main!$L$5-[43]Main!$L$6</f>
        <v>681.29900000000009</v>
      </c>
      <c r="J53" s="6">
        <f>+H53-I53</f>
        <v>20690.4926686</v>
      </c>
      <c r="K53" s="3" t="s">
        <v>2007</v>
      </c>
      <c r="L53" s="6">
        <f>+[43]Main!$L$3</f>
        <v>216.75245100000001</v>
      </c>
      <c r="M53" s="9">
        <v>46217</v>
      </c>
      <c r="AL53" s="1">
        <v>1999</v>
      </c>
      <c r="AN53" t="s">
        <v>2042</v>
      </c>
      <c r="AO53" s="10">
        <f>BD53/FV53-1</f>
        <v>-0.40599862100666517</v>
      </c>
      <c r="AP53" s="10">
        <f>BD53/BX53-1</f>
        <v>-3.3018426714058524E-2</v>
      </c>
      <c r="AQ53" s="10">
        <f>BD53/CA53-1</f>
        <v>-5.0427114907688142E-2</v>
      </c>
      <c r="AR53" s="122">
        <f>BD53/KT53-1</f>
        <v>2.7225755166931487E-2</v>
      </c>
      <c r="BD53" s="1">
        <v>103.38</v>
      </c>
      <c r="BE53" s="1">
        <v>104.47</v>
      </c>
      <c r="BF53" s="1">
        <v>103.46</v>
      </c>
      <c r="BG53" s="1">
        <v>102.15</v>
      </c>
      <c r="BH53" s="1">
        <v>98.605000000000004</v>
      </c>
      <c r="BJ53" s="1">
        <v>95.8</v>
      </c>
      <c r="BK53" s="1">
        <v>98.45</v>
      </c>
      <c r="BL53" s="1">
        <v>95.52</v>
      </c>
      <c r="BM53" s="1">
        <v>97.46</v>
      </c>
      <c r="BN53" s="1">
        <v>97.85</v>
      </c>
      <c r="BO53" s="1">
        <v>96.72</v>
      </c>
      <c r="BP53" s="1">
        <v>91.88</v>
      </c>
      <c r="BQ53" s="1">
        <v>99.04</v>
      </c>
      <c r="BR53" s="1">
        <v>94.17</v>
      </c>
      <c r="BS53" s="1">
        <v>94.22</v>
      </c>
      <c r="BT53" s="1">
        <v>104.92</v>
      </c>
      <c r="BU53" s="1">
        <v>103.86</v>
      </c>
      <c r="BV53" s="1">
        <v>103.73</v>
      </c>
      <c r="BW53" s="1">
        <v>106.03</v>
      </c>
      <c r="BX53" s="1">
        <v>106.91</v>
      </c>
      <c r="BY53" s="1">
        <v>108.37</v>
      </c>
      <c r="BZ53" s="1">
        <v>106.4</v>
      </c>
      <c r="CA53" s="1">
        <v>108.87</v>
      </c>
      <c r="CB53" s="1">
        <v>106.24</v>
      </c>
      <c r="CC53" s="1">
        <v>109.53</v>
      </c>
      <c r="CD53" s="1">
        <v>107.91</v>
      </c>
      <c r="CE53" s="1">
        <v>107.41</v>
      </c>
      <c r="CF53" s="1">
        <v>107.15</v>
      </c>
      <c r="CG53" s="1">
        <v>109.14</v>
      </c>
      <c r="CH53" s="1">
        <v>115.62</v>
      </c>
      <c r="CI53" s="1">
        <v>117.99</v>
      </c>
      <c r="CJ53" s="1">
        <v>116</v>
      </c>
      <c r="CK53" s="1">
        <v>103.89</v>
      </c>
      <c r="CL53" s="1">
        <v>101.35</v>
      </c>
      <c r="CM53" s="1">
        <v>105</v>
      </c>
      <c r="CN53" s="1">
        <v>137.09</v>
      </c>
      <c r="CO53" s="1">
        <v>139.44</v>
      </c>
      <c r="CP53" s="1">
        <v>140.01</v>
      </c>
      <c r="CQ53" s="1">
        <v>133.26</v>
      </c>
      <c r="CR53" s="1">
        <v>136.33000000000001</v>
      </c>
      <c r="CS53" s="1">
        <v>135.03</v>
      </c>
      <c r="CT53" s="1">
        <v>134.94</v>
      </c>
      <c r="CU53" s="1">
        <v>135.97999999999999</v>
      </c>
      <c r="CV53" s="1">
        <v>135.16999999999999</v>
      </c>
      <c r="CW53" s="1">
        <v>143.83000000000001</v>
      </c>
      <c r="CX53" s="1">
        <v>144.47999999999999</v>
      </c>
      <c r="CY53" s="1">
        <v>140.97999999999999</v>
      </c>
      <c r="CZ53" s="1">
        <v>142.82</v>
      </c>
      <c r="DA53" s="1">
        <v>144.47999999999999</v>
      </c>
      <c r="DB53" s="1">
        <v>142.79</v>
      </c>
      <c r="DC53" s="1">
        <v>146.74</v>
      </c>
      <c r="DD53" s="1">
        <v>153.4</v>
      </c>
      <c r="DE53" s="1">
        <v>151.13999999999999</v>
      </c>
      <c r="DF53" s="1">
        <v>154.81</v>
      </c>
      <c r="DG53" s="1">
        <v>159.59</v>
      </c>
      <c r="DH53" s="1">
        <v>160.18</v>
      </c>
      <c r="DI53" s="1">
        <v>163.03</v>
      </c>
      <c r="DJ53" s="1">
        <v>163.81</v>
      </c>
      <c r="DK53" s="1">
        <v>162.43</v>
      </c>
      <c r="DL53" s="1">
        <v>164.86</v>
      </c>
      <c r="DM53" s="1">
        <v>163.52000000000001</v>
      </c>
      <c r="DN53" s="1">
        <v>153.32</v>
      </c>
      <c r="DO53" s="1">
        <v>145.30000000000001</v>
      </c>
      <c r="DP53" s="1">
        <v>147.6</v>
      </c>
      <c r="DQ53" s="1">
        <v>148.31</v>
      </c>
      <c r="DR53" s="1">
        <v>139.13999999999999</v>
      </c>
      <c r="DS53" s="1">
        <v>143.97999999999999</v>
      </c>
      <c r="DT53" s="1">
        <v>136</v>
      </c>
      <c r="DU53" s="1">
        <v>144</v>
      </c>
      <c r="DV53" s="1">
        <v>142.69999999999999</v>
      </c>
      <c r="DW53" s="1">
        <v>143.93</v>
      </c>
      <c r="DX53" s="1">
        <v>144.6</v>
      </c>
      <c r="DY53" s="1">
        <v>139.5</v>
      </c>
      <c r="DZ53" s="1">
        <v>139.52000000000001</v>
      </c>
      <c r="EA53" s="1">
        <v>139.4</v>
      </c>
      <c r="EB53" s="1">
        <v>143.85</v>
      </c>
      <c r="EC53" s="1">
        <v>143.13</v>
      </c>
      <c r="ED53" s="1">
        <v>140.13</v>
      </c>
      <c r="EE53" s="1">
        <v>143.57</v>
      </c>
      <c r="EF53" s="1">
        <v>149.88</v>
      </c>
      <c r="EG53" s="1">
        <v>147</v>
      </c>
      <c r="EH53" s="1">
        <v>146.32</v>
      </c>
      <c r="EI53" s="1">
        <v>149.33000000000001</v>
      </c>
      <c r="EJ53" s="1">
        <v>150</v>
      </c>
      <c r="EK53" s="1">
        <v>148.61000000000001</v>
      </c>
      <c r="EL53" s="1">
        <v>158.62</v>
      </c>
      <c r="EM53" s="1">
        <v>159.03</v>
      </c>
      <c r="EN53" s="1">
        <v>164.91</v>
      </c>
      <c r="EO53" s="1">
        <v>161</v>
      </c>
      <c r="EP53" s="1">
        <v>151.11000000000001</v>
      </c>
      <c r="EQ53" s="1">
        <v>150.52000000000001</v>
      </c>
      <c r="ER53" s="1">
        <v>148.75</v>
      </c>
      <c r="ES53" s="1">
        <v>146.16999999999999</v>
      </c>
      <c r="ET53" s="1">
        <v>148.43</v>
      </c>
      <c r="EU53" s="1">
        <v>148.55000000000001</v>
      </c>
      <c r="EV53" s="1">
        <v>149.54</v>
      </c>
      <c r="EW53" s="1">
        <v>149.86000000000001</v>
      </c>
      <c r="EX53" s="1">
        <v>151.03</v>
      </c>
      <c r="EY53" s="1">
        <v>152.44</v>
      </c>
      <c r="EZ53" s="1">
        <v>157.16</v>
      </c>
      <c r="FA53" s="1">
        <v>153.97999999999999</v>
      </c>
      <c r="FB53" s="1">
        <v>156.87</v>
      </c>
      <c r="FC53" s="1">
        <v>157.82</v>
      </c>
      <c r="FD53" s="1">
        <v>155.88999999999999</v>
      </c>
      <c r="FE53" s="1">
        <v>162.63999999999999</v>
      </c>
      <c r="FF53" s="1">
        <v>159.72</v>
      </c>
      <c r="FG53" s="1">
        <v>156.21</v>
      </c>
      <c r="FH53" s="1">
        <v>160.38999999999999</v>
      </c>
      <c r="FI53" s="1">
        <v>156.32</v>
      </c>
      <c r="FJ53" s="1">
        <v>163.51</v>
      </c>
      <c r="FK53" s="1">
        <v>161.41999999999999</v>
      </c>
      <c r="FL53" s="1">
        <v>159.27000000000001</v>
      </c>
      <c r="FM53" s="1">
        <v>163.46</v>
      </c>
      <c r="FN53" s="1">
        <v>163.72</v>
      </c>
      <c r="FO53" s="1">
        <v>167.72</v>
      </c>
      <c r="FP53" s="1">
        <v>175.97</v>
      </c>
      <c r="FQ53" s="1">
        <v>170.27</v>
      </c>
      <c r="FR53" s="1">
        <v>176</v>
      </c>
      <c r="FS53" s="1">
        <v>175.07</v>
      </c>
      <c r="FT53" s="1">
        <v>175.2</v>
      </c>
      <c r="FU53" s="1">
        <v>177.12</v>
      </c>
      <c r="FV53" s="1">
        <v>174.04</v>
      </c>
      <c r="FW53" s="1">
        <v>174.09</v>
      </c>
      <c r="FX53" s="1">
        <v>176.34</v>
      </c>
      <c r="FY53" s="1">
        <v>177.88</v>
      </c>
      <c r="FZ53" s="1">
        <v>177.42</v>
      </c>
      <c r="GA53" s="1">
        <v>176.77</v>
      </c>
      <c r="GB53" s="1">
        <v>175.76</v>
      </c>
      <c r="GC53" s="1">
        <v>174.84</v>
      </c>
      <c r="GD53" s="1">
        <v>166.55</v>
      </c>
      <c r="GE53" s="1">
        <v>198.46</v>
      </c>
      <c r="GF53" s="1">
        <v>200.67</v>
      </c>
      <c r="GG53" s="1">
        <v>196.92</v>
      </c>
      <c r="GH53" s="1">
        <v>197.01</v>
      </c>
      <c r="GI53" s="1">
        <v>195.24</v>
      </c>
      <c r="GJ53" s="1">
        <v>189.85</v>
      </c>
      <c r="GK53" s="1">
        <v>194.17</v>
      </c>
      <c r="GL53" s="1">
        <v>196.55</v>
      </c>
      <c r="GM53" s="1">
        <v>204</v>
      </c>
      <c r="GN53" s="1">
        <v>205.04</v>
      </c>
      <c r="GO53" s="1">
        <v>206.78</v>
      </c>
      <c r="GP53" s="1">
        <v>206.6</v>
      </c>
      <c r="GQ53" s="1">
        <v>211.41</v>
      </c>
      <c r="GR53" s="1">
        <v>207.77</v>
      </c>
      <c r="GS53" s="1">
        <v>204.51</v>
      </c>
      <c r="GT53" s="1">
        <v>209.02</v>
      </c>
      <c r="GU53" s="1">
        <v>206.93</v>
      </c>
      <c r="GV53" s="1">
        <v>198.76</v>
      </c>
      <c r="GW53" s="1">
        <v>199.64</v>
      </c>
      <c r="GX53" s="1">
        <v>203.56</v>
      </c>
      <c r="GY53" s="1">
        <v>201.62</v>
      </c>
      <c r="GZ53" s="1">
        <v>197.4</v>
      </c>
      <c r="HA53" s="1">
        <v>193.22</v>
      </c>
      <c r="HB53" s="1">
        <v>190.96</v>
      </c>
      <c r="HC53" s="1">
        <v>194.39</v>
      </c>
      <c r="HD53" s="1">
        <v>193.69</v>
      </c>
      <c r="HE53" s="1">
        <v>191.92</v>
      </c>
      <c r="HF53" s="1">
        <v>189.7</v>
      </c>
      <c r="HG53" s="1">
        <v>185.68</v>
      </c>
      <c r="HH53" s="1">
        <v>186.88</v>
      </c>
      <c r="HI53" s="1">
        <v>182.77</v>
      </c>
      <c r="HJ53" s="1">
        <v>186.23</v>
      </c>
      <c r="HK53" s="1">
        <v>189.6</v>
      </c>
      <c r="HL53" s="1">
        <v>194.22</v>
      </c>
      <c r="HM53" s="1">
        <v>166.95</v>
      </c>
      <c r="HN53" s="1">
        <v>165.29</v>
      </c>
      <c r="HO53" s="1">
        <v>164.02</v>
      </c>
      <c r="HP53" s="1">
        <v>159.66</v>
      </c>
      <c r="HQ53" s="1">
        <v>160.12</v>
      </c>
      <c r="HR53" s="1">
        <v>160.4</v>
      </c>
      <c r="HS53" s="1">
        <v>165.31</v>
      </c>
      <c r="HT53" s="1">
        <v>167.91</v>
      </c>
      <c r="HU53" s="1">
        <v>165.76</v>
      </c>
      <c r="HV53" s="1">
        <v>163.19</v>
      </c>
      <c r="HW53" s="1">
        <v>163.54</v>
      </c>
      <c r="HX53" s="1">
        <v>161.38</v>
      </c>
      <c r="HY53" s="1">
        <v>163.94</v>
      </c>
      <c r="HZ53" s="1">
        <v>162.33000000000001</v>
      </c>
      <c r="IA53" s="1">
        <v>164.4</v>
      </c>
      <c r="IB53" s="1">
        <v>161.81</v>
      </c>
      <c r="IC53" s="1">
        <v>162.32</v>
      </c>
      <c r="ID53" s="1">
        <v>158.28</v>
      </c>
      <c r="IE53" s="1">
        <v>157.16</v>
      </c>
      <c r="IF53" s="1">
        <v>152.80000000000001</v>
      </c>
      <c r="IG53" s="1">
        <v>147.28</v>
      </c>
      <c r="IH53" s="1">
        <v>144.01</v>
      </c>
      <c r="II53" s="1">
        <v>141.65</v>
      </c>
      <c r="IJ53" s="1">
        <v>137.03</v>
      </c>
      <c r="IK53" s="1">
        <v>135.59</v>
      </c>
      <c r="IL53" s="1">
        <v>141</v>
      </c>
      <c r="IM53" s="1">
        <v>145.38</v>
      </c>
      <c r="IN53" s="1">
        <v>145.03</v>
      </c>
      <c r="IO53" s="1">
        <v>144.76</v>
      </c>
      <c r="IP53" s="1">
        <v>145.86000000000001</v>
      </c>
      <c r="IQ53" s="1">
        <v>144.78</v>
      </c>
      <c r="IR53" s="1">
        <v>144.75</v>
      </c>
      <c r="IS53" s="1">
        <v>143.13999999999999</v>
      </c>
      <c r="IT53" s="1">
        <v>145.93</v>
      </c>
      <c r="IU53" s="1">
        <v>145.785</v>
      </c>
      <c r="IV53" s="1">
        <v>145.93</v>
      </c>
      <c r="IW53" s="1">
        <v>147.19999999999999</v>
      </c>
      <c r="IX53" s="1">
        <v>146.68</v>
      </c>
      <c r="IY53" s="1">
        <v>145.1</v>
      </c>
      <c r="IZ53" s="1">
        <v>142.53</v>
      </c>
      <c r="JA53" s="1">
        <v>143.5</v>
      </c>
      <c r="JB53" s="1">
        <v>145.30000000000001</v>
      </c>
      <c r="JC53" s="1">
        <v>136.1</v>
      </c>
      <c r="JD53" s="1">
        <v>134.97</v>
      </c>
      <c r="JE53" s="1">
        <v>134.53</v>
      </c>
      <c r="JF53" s="1">
        <v>132.16999999999999</v>
      </c>
      <c r="JG53" s="1">
        <v>128.32</v>
      </c>
      <c r="JH53" s="1">
        <v>131.88</v>
      </c>
      <c r="JI53" s="1">
        <v>132.6</v>
      </c>
      <c r="JJ53" s="1">
        <v>129.44999999999999</v>
      </c>
      <c r="JK53" s="1">
        <v>127.21</v>
      </c>
      <c r="JL53" s="1">
        <v>127.27</v>
      </c>
      <c r="JM53" s="1">
        <v>127.8</v>
      </c>
      <c r="JN53" s="1">
        <v>127.75</v>
      </c>
      <c r="JO53" s="1">
        <v>122.87</v>
      </c>
      <c r="JP53" s="1">
        <v>122</v>
      </c>
      <c r="JQ53" s="1">
        <v>112.89</v>
      </c>
      <c r="JR53" s="1">
        <v>109.55</v>
      </c>
      <c r="JS53" s="1">
        <v>109.3</v>
      </c>
      <c r="JT53" s="1">
        <v>111.26</v>
      </c>
      <c r="JU53" s="1">
        <v>111.61</v>
      </c>
      <c r="JV53" s="1">
        <v>111.24</v>
      </c>
      <c r="JW53" s="1">
        <v>108.69</v>
      </c>
      <c r="JX53" s="1">
        <v>107.28</v>
      </c>
      <c r="JY53" s="1">
        <v>105.18</v>
      </c>
      <c r="JZ53" s="1">
        <v>105</v>
      </c>
      <c r="KA53" s="1">
        <v>101.75</v>
      </c>
      <c r="KB53" s="1">
        <v>103.95</v>
      </c>
      <c r="KC53" s="1">
        <v>103.52</v>
      </c>
      <c r="KD53" s="1">
        <v>103.44</v>
      </c>
      <c r="KE53" s="1">
        <v>102.92</v>
      </c>
      <c r="KF53" s="1">
        <v>102.78</v>
      </c>
      <c r="KG53" s="1">
        <v>102.55500000000001</v>
      </c>
      <c r="KH53" s="1">
        <v>104.17</v>
      </c>
      <c r="KI53" s="1">
        <v>104.59</v>
      </c>
      <c r="KJ53" s="1">
        <v>102.87</v>
      </c>
      <c r="KK53" s="1">
        <v>101.89</v>
      </c>
      <c r="KL53" s="1">
        <v>98.18</v>
      </c>
      <c r="KM53" s="1">
        <v>96.66</v>
      </c>
      <c r="KN53" s="1">
        <v>96.47</v>
      </c>
      <c r="KO53" s="1">
        <v>96.14</v>
      </c>
      <c r="KP53" s="1">
        <v>96.95</v>
      </c>
      <c r="KQ53" s="1">
        <v>97.8</v>
      </c>
      <c r="KR53" s="1">
        <v>98.24</v>
      </c>
      <c r="KS53" s="1">
        <v>97.62</v>
      </c>
      <c r="KT53" s="1">
        <v>100.64</v>
      </c>
    </row>
    <row r="54" spans="1:306" x14ac:dyDescent="0.25">
      <c r="A54" s="1" t="s">
        <v>330</v>
      </c>
      <c r="D54" s="1">
        <f t="shared" si="96"/>
        <v>43</v>
      </c>
      <c r="E54" s="5" t="s">
        <v>47</v>
      </c>
      <c r="F54" s="1" t="s">
        <v>48</v>
      </c>
      <c r="G54" s="7">
        <v>119.52</v>
      </c>
      <c r="H54" s="6">
        <f t="shared" si="97"/>
        <v>24226.434601919998</v>
      </c>
      <c r="I54" s="6">
        <f>+[44]Main!$K$5-[44]Main!$K$6</f>
        <v>4640.1270000000004</v>
      </c>
      <c r="J54" s="6">
        <f>H54-I54</f>
        <v>19586.307601919998</v>
      </c>
      <c r="K54" s="3" t="s">
        <v>2079</v>
      </c>
      <c r="L54" s="6">
        <f>+[44]Main!$K$3</f>
        <v>202.697746</v>
      </c>
      <c r="M54" s="9">
        <v>46235</v>
      </c>
      <c r="AN54" t="s">
        <v>2042</v>
      </c>
    </row>
    <row r="55" spans="1:306" x14ac:dyDescent="0.25">
      <c r="A55" s="1" t="s">
        <v>330</v>
      </c>
      <c r="B55"/>
      <c r="C55"/>
      <c r="D55" s="1">
        <f t="shared" si="96"/>
        <v>44</v>
      </c>
      <c r="E55" s="5" t="s">
        <v>85</v>
      </c>
      <c r="F55" s="1" t="s">
        <v>86</v>
      </c>
      <c r="G55" s="7">
        <v>517.71</v>
      </c>
      <c r="H55" s="6">
        <f t="shared" si="97"/>
        <v>21975.098141430004</v>
      </c>
      <c r="I55" s="6">
        <f>[45]Main!$K$5-[45]Main!$K$6</f>
        <v>3471.1</v>
      </c>
      <c r="J55" s="6">
        <f>H55-I55</f>
        <v>18503.998141430005</v>
      </c>
      <c r="K55" s="3" t="s">
        <v>2007</v>
      </c>
      <c r="L55" s="6">
        <f>+[45]Main!$K$3</f>
        <v>42.446733000000002</v>
      </c>
      <c r="M55" s="9">
        <v>46235</v>
      </c>
      <c r="AN55" t="s">
        <v>2042</v>
      </c>
    </row>
    <row r="56" spans="1:306" x14ac:dyDescent="0.25">
      <c r="A56" t="s">
        <v>330</v>
      </c>
      <c r="B56"/>
      <c r="C56"/>
      <c r="D56" s="1">
        <f t="shared" si="96"/>
        <v>45</v>
      </c>
      <c r="E56" s="5" t="s">
        <v>89</v>
      </c>
      <c r="F56" s="1" t="s">
        <v>90</v>
      </c>
      <c r="G56" s="7">
        <v>250</v>
      </c>
      <c r="H56" s="6">
        <f t="shared" si="97"/>
        <v>15475</v>
      </c>
      <c r="I56" s="6">
        <f>+[46]Main!$K$5-[46]Main!$K$6</f>
        <v>-2500</v>
      </c>
      <c r="J56" s="6">
        <f>+H56-I56</f>
        <v>17975</v>
      </c>
      <c r="K56" s="3" t="s">
        <v>2007</v>
      </c>
      <c r="L56" s="6">
        <f>+[46]Main!$K$3</f>
        <v>61.9</v>
      </c>
      <c r="M56" s="9">
        <v>46230</v>
      </c>
      <c r="N56" s="7">
        <f>+[46]Model!$AU$31</f>
        <v>0</v>
      </c>
      <c r="O56" s="10">
        <f>+N56/G56-1</f>
        <v>-1</v>
      </c>
      <c r="P56" s="10">
        <f>+[46]Model!$AU$28</f>
        <v>65.822500000000005</v>
      </c>
      <c r="Q56" s="10">
        <f>+[46]Model!$AU$27</f>
        <v>36.378823801023692</v>
      </c>
      <c r="R56" s="10">
        <f>+[46]Model!$AU$29</f>
        <v>0</v>
      </c>
    </row>
    <row r="57" spans="1:306" x14ac:dyDescent="0.25">
      <c r="A57" t="s">
        <v>330</v>
      </c>
      <c r="B57">
        <v>-1</v>
      </c>
      <c r="C57">
        <v>3</v>
      </c>
      <c r="D57" s="1">
        <f t="shared" si="96"/>
        <v>46</v>
      </c>
      <c r="E57" s="13" t="s">
        <v>51</v>
      </c>
      <c r="F57" s="1" t="s">
        <v>52</v>
      </c>
      <c r="G57" s="7">
        <v>54.58</v>
      </c>
      <c r="H57" s="6">
        <f t="shared" si="97"/>
        <v>21656.594016219999</v>
      </c>
      <c r="I57" s="6">
        <f>+[47]Main!$K$5-[47]Main!$K$6</f>
        <v>5916</v>
      </c>
      <c r="J57" s="6">
        <f>H57-I57</f>
        <v>15740.594016219999</v>
      </c>
      <c r="K57" s="3" t="s">
        <v>2007</v>
      </c>
      <c r="L57" s="6">
        <f>+[47]Main!$K$3</f>
        <v>396.78625899999997</v>
      </c>
      <c r="M57" s="9">
        <v>46209</v>
      </c>
      <c r="AM57" s="1" t="s">
        <v>605</v>
      </c>
    </row>
    <row r="58" spans="1:306" x14ac:dyDescent="0.25">
      <c r="A58" s="1" t="s">
        <v>330</v>
      </c>
      <c r="B58">
        <v>1</v>
      </c>
      <c r="C58">
        <v>3</v>
      </c>
      <c r="D58" s="1">
        <f t="shared" si="96"/>
        <v>47</v>
      </c>
      <c r="E58" s="5" t="s">
        <v>81</v>
      </c>
      <c r="F58" s="1" t="s">
        <v>82</v>
      </c>
      <c r="G58" s="7">
        <v>7.87</v>
      </c>
      <c r="H58" s="6">
        <f t="shared" si="97"/>
        <v>5411.057125960001</v>
      </c>
      <c r="I58" s="6">
        <f>([48]Main!$L$5-[48]Main!$L$6)*EUR</f>
        <v>-9653.0694899999999</v>
      </c>
      <c r="J58" s="6">
        <f>H58-I58</f>
        <v>15064.126615960002</v>
      </c>
      <c r="K58" s="3" t="s">
        <v>1273</v>
      </c>
      <c r="L58" s="6">
        <f>+[48]Main!$L$3</f>
        <v>687.55490800000007</v>
      </c>
      <c r="M58" s="9">
        <v>45749</v>
      </c>
    </row>
    <row r="59" spans="1:306" x14ac:dyDescent="0.25">
      <c r="A59" t="s">
        <v>330</v>
      </c>
      <c r="B59" s="1">
        <v>-1</v>
      </c>
      <c r="C59" s="1">
        <v>1</v>
      </c>
      <c r="D59" s="1">
        <f t="shared" si="96"/>
        <v>48</v>
      </c>
      <c r="E59" s="5" t="s">
        <v>118</v>
      </c>
      <c r="F59" s="1" t="s">
        <v>119</v>
      </c>
      <c r="G59" s="7">
        <v>52.9</v>
      </c>
      <c r="H59" s="6">
        <f t="shared" si="97"/>
        <v>14426.268012</v>
      </c>
      <c r="I59" s="6">
        <f>+[49]Main!$M$5-[49]Main!$M$6</f>
        <v>1426.3509999999999</v>
      </c>
      <c r="J59" s="6">
        <f>+H59-I59</f>
        <v>12999.917012</v>
      </c>
      <c r="K59" s="3" t="s">
        <v>2007</v>
      </c>
      <c r="L59" s="6">
        <f>+[49]Main!$M$3</f>
        <v>272.70828</v>
      </c>
      <c r="M59" s="9">
        <v>46220</v>
      </c>
    </row>
    <row r="60" spans="1:306" x14ac:dyDescent="0.25">
      <c r="A60" t="s">
        <v>330</v>
      </c>
      <c r="D60" s="1">
        <f t="shared" si="96"/>
        <v>49</v>
      </c>
      <c r="E60" s="5" t="s">
        <v>360</v>
      </c>
      <c r="F60" t="s">
        <v>361</v>
      </c>
      <c r="G60" s="14">
        <v>50.55</v>
      </c>
      <c r="H60" s="23">
        <f>G60*L60</f>
        <v>10428.422537999999</v>
      </c>
      <c r="I60" s="6">
        <f>([50]Main!$M$5-[50]Main!$M$6)*EUR</f>
        <v>-1631.0340000000003</v>
      </c>
      <c r="J60" s="6">
        <f>+H60-I60</f>
        <v>12059.456537999999</v>
      </c>
      <c r="K60" s="3" t="s">
        <v>1066</v>
      </c>
      <c r="L60" s="6">
        <f>[50]Main!$M$3</f>
        <v>206.29916</v>
      </c>
      <c r="M60" s="9">
        <v>45540</v>
      </c>
      <c r="AL60" s="1">
        <v>1926</v>
      </c>
    </row>
    <row r="61" spans="1:306" s="33" customFormat="1" ht="13" x14ac:dyDescent="0.3">
      <c r="A61" s="33" t="s">
        <v>330</v>
      </c>
      <c r="D61" s="33">
        <f t="shared" si="96"/>
        <v>50</v>
      </c>
      <c r="E61" s="57" t="s">
        <v>110</v>
      </c>
      <c r="F61" s="33" t="s">
        <v>111</v>
      </c>
      <c r="G61" s="58">
        <v>13.55</v>
      </c>
      <c r="H61" s="35">
        <f>+G61*L61</f>
        <v>3488.7656133500004</v>
      </c>
      <c r="I61" s="35">
        <f>[51]Main!$L$5-[51]Main!$L$6</f>
        <v>-8205</v>
      </c>
      <c r="J61" s="35">
        <f>+H61-I61</f>
        <v>11693.76561335</v>
      </c>
      <c r="K61" s="58" t="s">
        <v>1066</v>
      </c>
      <c r="L61" s="35">
        <f>+[51]Main!$L$3</f>
        <v>257.473477</v>
      </c>
      <c r="M61" s="59">
        <v>45562</v>
      </c>
      <c r="N61" s="58"/>
      <c r="O61" s="58"/>
      <c r="P61" s="58"/>
      <c r="Q61" s="58"/>
      <c r="R61" s="58"/>
      <c r="S61" s="60"/>
      <c r="T61" s="60"/>
      <c r="U61" s="60"/>
      <c r="V61" s="60"/>
      <c r="W61" s="117"/>
      <c r="X61" s="60"/>
      <c r="Y61" s="60"/>
      <c r="Z61" s="60"/>
      <c r="AA61" s="60"/>
      <c r="AB61" s="127"/>
      <c r="AC61" s="106"/>
      <c r="AD61" s="106"/>
      <c r="AE61" s="106"/>
      <c r="AF61" s="106"/>
      <c r="AG61" s="106"/>
      <c r="AH61" s="106"/>
      <c r="AI61" s="106"/>
      <c r="AJ61" s="106"/>
      <c r="AK61" s="106"/>
      <c r="AO61" s="58"/>
      <c r="AP61" s="58"/>
      <c r="AQ61" s="58"/>
    </row>
    <row r="62" spans="1:306" x14ac:dyDescent="0.25">
      <c r="A62" t="s">
        <v>330</v>
      </c>
      <c r="B62"/>
      <c r="C62"/>
      <c r="D62" s="1">
        <f t="shared" si="96"/>
        <v>51</v>
      </c>
      <c r="E62" s="5" t="s">
        <v>95</v>
      </c>
      <c r="F62" s="1" t="s">
        <v>96</v>
      </c>
      <c r="G62" s="7">
        <v>82.57</v>
      </c>
      <c r="H62" s="6">
        <f>+G62*L62</f>
        <v>9793.8754099999987</v>
      </c>
      <c r="I62" s="6">
        <f>+[52]Main!$M$5-[52]Main!$M$6</f>
        <v>-1826.0170000000001</v>
      </c>
      <c r="J62" s="6">
        <f>+H62-I62</f>
        <v>11619.892409999999</v>
      </c>
      <c r="K62" s="3" t="s">
        <v>2007</v>
      </c>
      <c r="L62" s="6">
        <f>+[52]Main!$M$3</f>
        <v>118.613</v>
      </c>
      <c r="M62" s="9">
        <v>46235</v>
      </c>
    </row>
    <row r="63" spans="1:306" x14ac:dyDescent="0.25">
      <c r="A63" t="s">
        <v>330</v>
      </c>
      <c r="D63" s="1">
        <f t="shared" si="96"/>
        <v>52</v>
      </c>
      <c r="E63" s="5" t="s">
        <v>87</v>
      </c>
      <c r="F63" s="1" t="s">
        <v>88</v>
      </c>
      <c r="G63" s="7">
        <v>128.29</v>
      </c>
      <c r="H63" s="6">
        <f>+G63*L63</f>
        <v>13213.869999999999</v>
      </c>
      <c r="I63" s="6">
        <f>+[53]Main!$L$5-[53]Main!$L$6</f>
        <v>1940</v>
      </c>
      <c r="J63" s="6">
        <f>H63-I63</f>
        <v>11273.869999999999</v>
      </c>
      <c r="K63" s="3" t="s">
        <v>1273</v>
      </c>
      <c r="L63" s="6">
        <f>+[53]Main!$L$3</f>
        <v>103</v>
      </c>
      <c r="M63" s="9">
        <v>45707</v>
      </c>
    </row>
    <row r="64" spans="1:306" x14ac:dyDescent="0.25">
      <c r="A64" t="s">
        <v>330</v>
      </c>
      <c r="B64"/>
      <c r="C64"/>
      <c r="D64" s="1">
        <f t="shared" si="96"/>
        <v>53</v>
      </c>
      <c r="E64" s="5" t="s">
        <v>368</v>
      </c>
      <c r="F64" t="s">
        <v>369</v>
      </c>
      <c r="G64" s="14">
        <v>71.099999999999994</v>
      </c>
      <c r="H64" s="6">
        <f>+G64*L64*EUR</f>
        <v>11138.436413999998</v>
      </c>
      <c r="I64" s="6">
        <f>([54]Main!$L$5-[54]Main!$L$6)*EUR</f>
        <v>-123.432</v>
      </c>
      <c r="J64" s="6">
        <f>+H64-I64</f>
        <v>11261.868413999999</v>
      </c>
      <c r="K64" s="3" t="s">
        <v>1066</v>
      </c>
      <c r="L64" s="6">
        <f>+[54]Main!$L$3</f>
        <v>141.13399999999999</v>
      </c>
      <c r="M64" s="9">
        <v>45566</v>
      </c>
    </row>
    <row r="65" spans="1:40" x14ac:dyDescent="0.25">
      <c r="A65" s="1" t="s">
        <v>330</v>
      </c>
      <c r="B65">
        <v>8</v>
      </c>
      <c r="C65">
        <v>8</v>
      </c>
      <c r="D65" s="1">
        <f t="shared" si="96"/>
        <v>54</v>
      </c>
      <c r="E65" s="5" t="s">
        <v>67</v>
      </c>
      <c r="F65" s="1" t="s">
        <v>68</v>
      </c>
      <c r="G65" s="7">
        <v>60.02</v>
      </c>
      <c r="H65" s="6">
        <f>+G65*L65</f>
        <v>11763.92</v>
      </c>
      <c r="I65" s="6">
        <f>+[55]Main!$L$5-[55]Main!$L$6</f>
        <v>1183</v>
      </c>
      <c r="J65" s="6">
        <f>H65-I65</f>
        <v>10580.92</v>
      </c>
      <c r="K65" s="3" t="s">
        <v>1839</v>
      </c>
      <c r="L65" s="6">
        <f>+[55]Main!$L$3</f>
        <v>196</v>
      </c>
      <c r="M65" s="9">
        <v>45798</v>
      </c>
      <c r="AL65">
        <v>1997</v>
      </c>
      <c r="AM65" s="1" t="s">
        <v>1120</v>
      </c>
    </row>
    <row r="66" spans="1:40" x14ac:dyDescent="0.25">
      <c r="A66" t="s">
        <v>330</v>
      </c>
      <c r="D66" s="1">
        <f t="shared" si="96"/>
        <v>55</v>
      </c>
      <c r="E66" s="5" t="s">
        <v>694</v>
      </c>
      <c r="F66" t="s">
        <v>695</v>
      </c>
      <c r="G66" s="52">
        <v>47.92</v>
      </c>
      <c r="H66" s="29">
        <f>+G66*L66</f>
        <v>8989.1211200000016</v>
      </c>
      <c r="I66" s="29">
        <f>+[56]Main!$N$5-[56]Main!$N$6</f>
        <v>-1130.3990000000001</v>
      </c>
      <c r="J66" s="29">
        <f>+H66-I66</f>
        <v>10119.520120000001</v>
      </c>
      <c r="K66" s="27" t="s">
        <v>1066</v>
      </c>
      <c r="L66" s="29">
        <f>+[56]Main!$N$3</f>
        <v>187.58600000000001</v>
      </c>
      <c r="M66" s="36">
        <v>45579</v>
      </c>
    </row>
    <row r="67" spans="1:40" x14ac:dyDescent="0.25">
      <c r="A67" t="s">
        <v>330</v>
      </c>
      <c r="D67" s="1">
        <f t="shared" si="96"/>
        <v>56</v>
      </c>
      <c r="E67" s="5" t="s">
        <v>682</v>
      </c>
      <c r="F67" t="s">
        <v>683</v>
      </c>
      <c r="G67" s="7">
        <v>80.13</v>
      </c>
      <c r="H67" s="6">
        <f>+G67*L67</f>
        <v>10584.05118</v>
      </c>
      <c r="I67" s="6">
        <f>+[57]Main!$K$5-[57]Main!$K$6</f>
        <v>556.91599999999994</v>
      </c>
      <c r="J67" s="6">
        <f>+H67-I67</f>
        <v>10027.135180000001</v>
      </c>
      <c r="K67" s="3" t="s">
        <v>2007</v>
      </c>
      <c r="L67" s="6">
        <f>+[57]Main!$K$3</f>
        <v>132.08600000000001</v>
      </c>
      <c r="M67" s="9">
        <v>46230</v>
      </c>
    </row>
    <row r="68" spans="1:40" x14ac:dyDescent="0.25">
      <c r="A68" t="s">
        <v>330</v>
      </c>
      <c r="B68"/>
      <c r="C68"/>
      <c r="D68" s="1">
        <f t="shared" si="96"/>
        <v>57</v>
      </c>
      <c r="E68" s="5" t="s">
        <v>108</v>
      </c>
      <c r="F68" s="1" t="s">
        <v>109</v>
      </c>
      <c r="G68" s="3">
        <v>86.25</v>
      </c>
      <c r="H68" s="6">
        <f>+G68*L68</f>
        <v>12283.466249999999</v>
      </c>
      <c r="I68" s="6">
        <f>+[58]Main!$L$5-[58]Main!$L$6</f>
        <v>1102.06</v>
      </c>
      <c r="J68" s="6">
        <f>+H68-I68</f>
        <v>11181.40625</v>
      </c>
      <c r="K68" s="3" t="s">
        <v>2007</v>
      </c>
      <c r="L68" s="6">
        <f>+[58]Main!$L$3</f>
        <v>142.417</v>
      </c>
      <c r="M68" s="9">
        <v>46209</v>
      </c>
    </row>
    <row r="69" spans="1:40" x14ac:dyDescent="0.25">
      <c r="A69" s="1" t="s">
        <v>330</v>
      </c>
      <c r="D69" s="1">
        <f t="shared" si="96"/>
        <v>58</v>
      </c>
      <c r="E69" s="5" t="s">
        <v>362</v>
      </c>
      <c r="F69" t="s">
        <v>363</v>
      </c>
      <c r="G69" s="14">
        <v>106.1</v>
      </c>
      <c r="H69" s="6">
        <f>+G69*L69*EUR</f>
        <v>9870.9205415460001</v>
      </c>
      <c r="I69" s="6">
        <f>([59]Main!$L$5-[59]Main!$L$6)*EUR</f>
        <v>7.548</v>
      </c>
      <c r="J69" s="6">
        <f>+H69-I69</f>
        <v>9863.3725415459994</v>
      </c>
      <c r="K69" s="3" t="s">
        <v>1066</v>
      </c>
      <c r="L69" s="6">
        <f>+[59]Main!$L$3</f>
        <v>83.814526000000001</v>
      </c>
      <c r="M69" s="9">
        <v>45563</v>
      </c>
    </row>
    <row r="70" spans="1:40" x14ac:dyDescent="0.25">
      <c r="A70" t="s">
        <v>330</v>
      </c>
      <c r="B70"/>
      <c r="C70"/>
      <c r="D70">
        <f t="shared" si="96"/>
        <v>59</v>
      </c>
      <c r="E70" s="13" t="s">
        <v>704</v>
      </c>
      <c r="F70" t="s">
        <v>705</v>
      </c>
      <c r="G70" s="7">
        <v>13.1</v>
      </c>
      <c r="H70" s="6">
        <f>+G70*L70</f>
        <v>10014.686506600001</v>
      </c>
      <c r="I70" s="6">
        <f>+[60]Main!$K$5-[60]Main!$K$6</f>
        <v>738.6</v>
      </c>
      <c r="J70" s="6">
        <f>H70-I70</f>
        <v>9276.0865066000006</v>
      </c>
      <c r="K70" s="3" t="s">
        <v>1066</v>
      </c>
      <c r="L70" s="6">
        <f>+[60]Main!$K$3</f>
        <v>764.47988600000008</v>
      </c>
      <c r="M70" s="9">
        <v>45544</v>
      </c>
      <c r="AN70" t="s">
        <v>2042</v>
      </c>
    </row>
    <row r="71" spans="1:40" x14ac:dyDescent="0.25">
      <c r="A71" t="s">
        <v>330</v>
      </c>
      <c r="B71"/>
      <c r="C71"/>
      <c r="D71" s="1">
        <f t="shared" si="96"/>
        <v>60</v>
      </c>
      <c r="E71" s="5" t="s">
        <v>71</v>
      </c>
      <c r="F71" s="1" t="s">
        <v>72</v>
      </c>
      <c r="G71" s="7">
        <v>111.06</v>
      </c>
      <c r="H71" s="6">
        <f>+G71*L71</f>
        <v>26625.496857120001</v>
      </c>
      <c r="I71" s="6">
        <f>+[61]Main!$K$5-[61]Main!$K$6</f>
        <v>18066.8</v>
      </c>
      <c r="J71" s="6">
        <f>+H71-I71</f>
        <v>8558.6968571200014</v>
      </c>
      <c r="K71" s="3" t="s">
        <v>1272</v>
      </c>
      <c r="L71" s="6">
        <f>+[61]Main!$K$3</f>
        <v>239.73975200000001</v>
      </c>
      <c r="M71" s="9">
        <v>45684</v>
      </c>
      <c r="AL71" s="1">
        <v>2008</v>
      </c>
    </row>
    <row r="72" spans="1:40" x14ac:dyDescent="0.25">
      <c r="A72" t="s">
        <v>330</v>
      </c>
      <c r="B72"/>
      <c r="C72"/>
      <c r="D72" s="1">
        <f t="shared" si="96"/>
        <v>61</v>
      </c>
      <c r="E72" t="s">
        <v>352</v>
      </c>
      <c r="F72" t="s">
        <v>353</v>
      </c>
      <c r="G72" s="17">
        <v>6489.5</v>
      </c>
    </row>
    <row r="73" spans="1:40" x14ac:dyDescent="0.25">
      <c r="A73" t="s">
        <v>330</v>
      </c>
      <c r="B73"/>
      <c r="C73"/>
      <c r="D73" s="1">
        <f t="shared" si="96"/>
        <v>62</v>
      </c>
      <c r="E73" t="s">
        <v>1060</v>
      </c>
      <c r="F73" t="s">
        <v>1983</v>
      </c>
      <c r="G73" s="17">
        <v>3612</v>
      </c>
      <c r="H73" s="6"/>
    </row>
    <row r="74" spans="1:40" x14ac:dyDescent="0.25">
      <c r="A74" t="s">
        <v>330</v>
      </c>
      <c r="B74"/>
      <c r="C74"/>
      <c r="D74" s="1">
        <f t="shared" si="96"/>
        <v>63</v>
      </c>
      <c r="E74" t="s">
        <v>1052</v>
      </c>
      <c r="F74" t="s">
        <v>1053</v>
      </c>
      <c r="G74" s="54">
        <v>269.8</v>
      </c>
    </row>
    <row r="75" spans="1:40" x14ac:dyDescent="0.25">
      <c r="A75" t="s">
        <v>330</v>
      </c>
      <c r="B75"/>
      <c r="C75"/>
      <c r="D75" s="1">
        <f t="shared" si="96"/>
        <v>64</v>
      </c>
      <c r="E75" t="s">
        <v>2085</v>
      </c>
      <c r="F75" t="s">
        <v>1856</v>
      </c>
      <c r="G75" s="7">
        <v>498.5</v>
      </c>
      <c r="H75" s="6"/>
    </row>
    <row r="76" spans="1:40" x14ac:dyDescent="0.25">
      <c r="A76" t="s">
        <v>330</v>
      </c>
      <c r="D76">
        <f t="shared" si="96"/>
        <v>65</v>
      </c>
      <c r="E76" t="s">
        <v>265</v>
      </c>
      <c r="F76" t="s">
        <v>266</v>
      </c>
      <c r="G76" s="16">
        <v>2547</v>
      </c>
    </row>
    <row r="77" spans="1:40" x14ac:dyDescent="0.25">
      <c r="A77" t="s">
        <v>330</v>
      </c>
      <c r="D77">
        <f t="shared" si="96"/>
        <v>66</v>
      </c>
      <c r="E77" s="5" t="s">
        <v>133</v>
      </c>
      <c r="F77" s="1" t="s">
        <v>134</v>
      </c>
      <c r="G77" s="7">
        <v>243</v>
      </c>
      <c r="H77" s="6">
        <f>G77*L77</f>
        <v>15157.573578</v>
      </c>
      <c r="I77" s="6">
        <f>[62]Main!$K$5-[62]Main!$K$6</f>
        <v>-323.66399999999987</v>
      </c>
      <c r="J77" s="6">
        <f>H77-I77</f>
        <v>15481.237578</v>
      </c>
      <c r="K77" s="3" t="s">
        <v>2007</v>
      </c>
      <c r="L77" s="6">
        <f>[62]Main!$K$3</f>
        <v>62.376846</v>
      </c>
      <c r="M77" s="9">
        <v>46235</v>
      </c>
      <c r="AL77" s="1">
        <v>2007</v>
      </c>
      <c r="AM77" s="1" t="s">
        <v>1137</v>
      </c>
    </row>
    <row r="78" spans="1:40" ht="13" x14ac:dyDescent="0.3">
      <c r="A78" t="s">
        <v>330</v>
      </c>
      <c r="B78"/>
      <c r="C78"/>
      <c r="D78" s="24">
        <f t="shared" si="96"/>
        <v>67</v>
      </c>
      <c r="E78" s="24" t="s">
        <v>1844</v>
      </c>
      <c r="F78" s="24" t="s">
        <v>1843</v>
      </c>
      <c r="G78" s="111">
        <v>432000</v>
      </c>
      <c r="H78" s="26">
        <v>12895</v>
      </c>
    </row>
    <row r="79" spans="1:40" x14ac:dyDescent="0.25">
      <c r="A79" t="s">
        <v>330</v>
      </c>
      <c r="B79"/>
      <c r="C79"/>
      <c r="D79">
        <f t="shared" si="96"/>
        <v>68</v>
      </c>
      <c r="E79" s="1" t="s">
        <v>169</v>
      </c>
      <c r="F79" s="1" t="s">
        <v>170</v>
      </c>
      <c r="G79" s="7">
        <v>70.53</v>
      </c>
      <c r="H79" s="6">
        <v>2150</v>
      </c>
    </row>
    <row r="80" spans="1:40" x14ac:dyDescent="0.25">
      <c r="A80" t="s">
        <v>330</v>
      </c>
      <c r="D80">
        <f t="shared" si="96"/>
        <v>69</v>
      </c>
      <c r="E80" t="s">
        <v>358</v>
      </c>
      <c r="F80" t="s">
        <v>359</v>
      </c>
      <c r="G80" s="17">
        <v>1515</v>
      </c>
    </row>
    <row r="81" spans="1:38" x14ac:dyDescent="0.25">
      <c r="A81"/>
      <c r="B81"/>
      <c r="C81"/>
      <c r="D81">
        <f t="shared" si="96"/>
        <v>70</v>
      </c>
      <c r="E81" s="5" t="s">
        <v>135</v>
      </c>
      <c r="F81" s="1" t="s">
        <v>136</v>
      </c>
      <c r="G81" s="3">
        <v>72.03</v>
      </c>
      <c r="H81" s="6">
        <f>+G81*L81</f>
        <v>5001.0891432600001</v>
      </c>
      <c r="I81" s="6">
        <f>+[63]Main!$K$5-[63]Main!$K$6</f>
        <v>310.25300000000004</v>
      </c>
      <c r="J81" s="6">
        <f t="shared" ref="J81:J86" si="98">+H81-I81</f>
        <v>4690.8361432600004</v>
      </c>
      <c r="K81" s="3" t="s">
        <v>1066</v>
      </c>
      <c r="L81" s="6">
        <f>+[63]Main!$K$3</f>
        <v>69.430642000000006</v>
      </c>
      <c r="M81" s="9">
        <v>45586</v>
      </c>
    </row>
    <row r="82" spans="1:38" x14ac:dyDescent="0.25">
      <c r="A82" s="1" t="s">
        <v>330</v>
      </c>
      <c r="B82"/>
      <c r="C82"/>
      <c r="D82" s="1">
        <f t="shared" si="96"/>
        <v>71</v>
      </c>
      <c r="E82" s="5" t="s">
        <v>1114</v>
      </c>
      <c r="F82" t="s">
        <v>1115</v>
      </c>
      <c r="G82" s="7">
        <v>58.26</v>
      </c>
      <c r="H82" s="6">
        <f>+G82*L82</f>
        <v>8412.6089533199993</v>
      </c>
      <c r="I82" s="6">
        <f>+[64]Main!$L$5-[64]Main!$L$6</f>
        <v>2741.1950000000002</v>
      </c>
      <c r="J82" s="6">
        <f t="shared" si="98"/>
        <v>5671.4139533199996</v>
      </c>
      <c r="K82" s="3" t="s">
        <v>2007</v>
      </c>
      <c r="L82" s="6">
        <f>+[64]Main!$L$3</f>
        <v>144.397682</v>
      </c>
      <c r="M82" s="9">
        <v>46209</v>
      </c>
      <c r="AL82" s="1">
        <v>2013</v>
      </c>
    </row>
    <row r="83" spans="1:38" x14ac:dyDescent="0.25">
      <c r="A83" t="s">
        <v>330</v>
      </c>
      <c r="D83" s="1">
        <f t="shared" si="96"/>
        <v>72</v>
      </c>
      <c r="E83" s="5" t="s">
        <v>97</v>
      </c>
      <c r="F83" s="1" t="s">
        <v>98</v>
      </c>
      <c r="G83" s="3">
        <v>43.08</v>
      </c>
      <c r="H83" s="6">
        <f>+G83*L83</f>
        <v>6298.7738002800006</v>
      </c>
      <c r="I83" s="6">
        <f>+[65]Main!$L$5-[65]Main!$L$6</f>
        <v>309.9079999999999</v>
      </c>
      <c r="J83" s="6">
        <f t="shared" si="98"/>
        <v>5988.8658002800003</v>
      </c>
      <c r="K83" s="9" t="s">
        <v>1066</v>
      </c>
      <c r="L83" s="6">
        <f>+[65]Main!$L$3</f>
        <v>146.21109100000001</v>
      </c>
      <c r="M83" s="9">
        <v>45539</v>
      </c>
      <c r="AL83" s="1">
        <v>1989</v>
      </c>
    </row>
    <row r="84" spans="1:38" x14ac:dyDescent="0.25">
      <c r="A84" t="s">
        <v>330</v>
      </c>
      <c r="D84">
        <f t="shared" si="96"/>
        <v>73</v>
      </c>
      <c r="E84" s="5" t="s">
        <v>272</v>
      </c>
      <c r="F84" t="s">
        <v>273</v>
      </c>
      <c r="G84" s="16">
        <v>2565</v>
      </c>
      <c r="H84" s="6">
        <f>+G84*L84/JPY</f>
        <v>8357.6257722917308</v>
      </c>
      <c r="I84" s="6">
        <f>([66]Main!$L$5-[66]Main!$L$6)/JPY</f>
        <v>2227.7021666158071</v>
      </c>
      <c r="J84" s="6">
        <f t="shared" si="98"/>
        <v>6129.9236056759237</v>
      </c>
      <c r="K84" s="3" t="s">
        <v>1066</v>
      </c>
      <c r="L84" s="6">
        <f>+[66]Main!$L$3</f>
        <v>533.87796600000001</v>
      </c>
      <c r="M84" s="9">
        <v>45567</v>
      </c>
    </row>
    <row r="85" spans="1:38" x14ac:dyDescent="0.25">
      <c r="A85"/>
      <c r="B85"/>
      <c r="C85"/>
      <c r="D85">
        <f t="shared" si="96"/>
        <v>74</v>
      </c>
      <c r="E85" s="5" t="s">
        <v>127</v>
      </c>
      <c r="F85" s="1" t="s">
        <v>128</v>
      </c>
      <c r="G85" s="7">
        <v>26.7</v>
      </c>
      <c r="H85" s="6">
        <f>+G85*L85</f>
        <v>3642.2916605999994</v>
      </c>
      <c r="I85" s="6">
        <f>+[67]Main!$N$5-[67]Main!$N$6</f>
        <v>-3514.8</v>
      </c>
      <c r="J85" s="6">
        <f t="shared" si="98"/>
        <v>7157.0916605999992</v>
      </c>
      <c r="K85" s="3" t="s">
        <v>1066</v>
      </c>
      <c r="L85" s="6">
        <f>+[67]Main!$N$3</f>
        <v>136.41541799999999</v>
      </c>
      <c r="M85" s="9">
        <v>45566</v>
      </c>
    </row>
    <row r="86" spans="1:38" x14ac:dyDescent="0.25">
      <c r="A86" t="s">
        <v>330</v>
      </c>
      <c r="B86"/>
      <c r="C86"/>
      <c r="D86">
        <f t="shared" si="96"/>
        <v>75</v>
      </c>
      <c r="E86" s="5" t="s">
        <v>675</v>
      </c>
      <c r="F86" t="s">
        <v>676</v>
      </c>
      <c r="G86" s="7">
        <v>328</v>
      </c>
      <c r="H86" s="6">
        <f>+G86*L86</f>
        <v>7121.7580559999997</v>
      </c>
      <c r="I86" s="6">
        <f>+[68]Main!$M$5-[68]Main!$M$6</f>
        <v>946.1869999999999</v>
      </c>
      <c r="J86" s="6">
        <f t="shared" si="98"/>
        <v>6175.5710559999998</v>
      </c>
      <c r="K86" s="3" t="s">
        <v>1066</v>
      </c>
      <c r="L86" s="6">
        <f>+[68]Main!$M$3</f>
        <v>21.712676999999999</v>
      </c>
      <c r="M86" s="9">
        <v>45783</v>
      </c>
    </row>
    <row r="87" spans="1:38" x14ac:dyDescent="0.25">
      <c r="A87" t="s">
        <v>330</v>
      </c>
      <c r="B87"/>
      <c r="C87"/>
      <c r="D87">
        <f t="shared" si="96"/>
        <v>76</v>
      </c>
      <c r="E87" t="s">
        <v>1056</v>
      </c>
      <c r="F87" t="s">
        <v>1057</v>
      </c>
      <c r="G87" s="17">
        <v>958.85</v>
      </c>
      <c r="H87" s="6"/>
    </row>
    <row r="88" spans="1:38" x14ac:dyDescent="0.25">
      <c r="A88" t="s">
        <v>330</v>
      </c>
      <c r="B88"/>
      <c r="C88"/>
      <c r="D88">
        <f t="shared" si="96"/>
        <v>77</v>
      </c>
      <c r="E88" s="5" t="s">
        <v>810</v>
      </c>
      <c r="F88" t="s">
        <v>811</v>
      </c>
      <c r="G88" s="14">
        <v>111.1</v>
      </c>
      <c r="H88" s="6">
        <f>+G88*L88*EUR</f>
        <v>7812.1186066769997</v>
      </c>
      <c r="I88" s="6">
        <f>([69]Main!$M$5-[69]Main!$M$6)</f>
        <v>47.804999999999993</v>
      </c>
      <c r="J88" s="6">
        <f>+H88-I88</f>
        <v>7764.3136066769994</v>
      </c>
      <c r="K88" s="3" t="s">
        <v>1273</v>
      </c>
      <c r="L88" s="6">
        <f>+[69]Main!$M$3</f>
        <v>63.347836999999998</v>
      </c>
      <c r="M88" s="9">
        <v>46244</v>
      </c>
    </row>
    <row r="89" spans="1:38" x14ac:dyDescent="0.25">
      <c r="A89" t="s">
        <v>330</v>
      </c>
      <c r="B89"/>
      <c r="C89"/>
      <c r="D89">
        <f>D88</f>
        <v>77</v>
      </c>
      <c r="E89" s="5" t="s">
        <v>810</v>
      </c>
      <c r="F89" t="s">
        <v>1987</v>
      </c>
      <c r="G89" s="7">
        <v>128.31</v>
      </c>
      <c r="H89" s="6">
        <f>+G89*L89</f>
        <v>8128.1609654699996</v>
      </c>
      <c r="I89" s="6">
        <f>([69]Main!$M$5-[69]Main!$M$6)</f>
        <v>47.804999999999993</v>
      </c>
      <c r="J89" s="6">
        <f>+H89-I89</f>
        <v>8080.3559654699993</v>
      </c>
      <c r="K89" s="3" t="s">
        <v>1273</v>
      </c>
      <c r="L89" s="6">
        <f>+[69]Main!$M$3</f>
        <v>63.347836999999998</v>
      </c>
      <c r="M89" s="9">
        <v>46244</v>
      </c>
    </row>
    <row r="90" spans="1:38" x14ac:dyDescent="0.25">
      <c r="A90" t="s">
        <v>330</v>
      </c>
      <c r="D90">
        <f>+D89+1</f>
        <v>78</v>
      </c>
      <c r="E90" s="5" t="s">
        <v>502</v>
      </c>
      <c r="F90" t="s">
        <v>503</v>
      </c>
      <c r="G90" s="7">
        <v>27.93</v>
      </c>
      <c r="H90" s="6">
        <f>+G90*L90</f>
        <v>4324.2102164099997</v>
      </c>
      <c r="I90" s="6">
        <f>+[70]Main!$J$5-[70]Main!$J$6</f>
        <v>115.66200000000001</v>
      </c>
      <c r="J90" s="6">
        <f>+H90-I90</f>
        <v>4208.5482164099994</v>
      </c>
      <c r="K90" s="3" t="s">
        <v>1066</v>
      </c>
      <c r="L90" s="6">
        <f>+[70]Main!$J$3</f>
        <v>154.823137</v>
      </c>
      <c r="M90" s="9">
        <v>45580</v>
      </c>
    </row>
    <row r="91" spans="1:38" x14ac:dyDescent="0.25">
      <c r="A91" t="s">
        <v>330</v>
      </c>
      <c r="B91"/>
      <c r="C91"/>
      <c r="D91">
        <f t="shared" ref="D91:D99" si="99">+D90+1</f>
        <v>79</v>
      </c>
      <c r="E91" s="5" t="s">
        <v>427</v>
      </c>
      <c r="F91" t="s">
        <v>428</v>
      </c>
      <c r="G91" s="7">
        <v>106</v>
      </c>
      <c r="H91" s="6">
        <f>+G91*L91</f>
        <v>5134.2274479999996</v>
      </c>
      <c r="I91" s="6">
        <f>+[71]Main!$L$5-[71]Main!$L$6</f>
        <v>206.86999999999998</v>
      </c>
      <c r="J91" s="6">
        <f>+H91-I91</f>
        <v>4927.3574479999997</v>
      </c>
      <c r="K91" s="3" t="s">
        <v>1066</v>
      </c>
      <c r="L91" s="6">
        <f>+[71]Main!$L$3</f>
        <v>48.436107999999997</v>
      </c>
      <c r="M91" s="9">
        <v>45540</v>
      </c>
    </row>
    <row r="92" spans="1:38" x14ac:dyDescent="0.25">
      <c r="A92" t="s">
        <v>330</v>
      </c>
      <c r="B92"/>
      <c r="C92"/>
      <c r="D92">
        <f t="shared" si="99"/>
        <v>80</v>
      </c>
      <c r="E92" t="s">
        <v>1061</v>
      </c>
      <c r="F92" s="1" t="s">
        <v>1981</v>
      </c>
      <c r="G92" s="17">
        <v>1882.2</v>
      </c>
      <c r="H92" s="6"/>
    </row>
    <row r="93" spans="1:38" x14ac:dyDescent="0.25">
      <c r="A93" s="1" t="s">
        <v>330</v>
      </c>
      <c r="D93">
        <f t="shared" si="99"/>
        <v>81</v>
      </c>
      <c r="E93" t="s">
        <v>1845</v>
      </c>
      <c r="F93" t="s">
        <v>1846</v>
      </c>
      <c r="G93" s="17">
        <v>2628.9</v>
      </c>
    </row>
    <row r="94" spans="1:38" x14ac:dyDescent="0.25">
      <c r="A94" t="s">
        <v>330</v>
      </c>
      <c r="B94"/>
      <c r="C94"/>
      <c r="D94">
        <f>+D93+1</f>
        <v>82</v>
      </c>
      <c r="E94" t="s">
        <v>1863</v>
      </c>
      <c r="F94" t="s">
        <v>1864</v>
      </c>
      <c r="G94" s="17">
        <v>861.2</v>
      </c>
    </row>
    <row r="95" spans="1:38" x14ac:dyDescent="0.25">
      <c r="A95" t="s">
        <v>330</v>
      </c>
      <c r="D95">
        <f t="shared" si="99"/>
        <v>83</v>
      </c>
      <c r="E95" s="1" t="s">
        <v>112</v>
      </c>
      <c r="F95" s="1" t="s">
        <v>113</v>
      </c>
      <c r="G95" s="3">
        <v>13.71</v>
      </c>
    </row>
    <row r="96" spans="1:38" x14ac:dyDescent="0.25">
      <c r="A96" t="s">
        <v>330</v>
      </c>
      <c r="B96"/>
      <c r="C96"/>
      <c r="D96">
        <f t="shared" si="99"/>
        <v>84</v>
      </c>
      <c r="E96" s="5" t="s">
        <v>1819</v>
      </c>
      <c r="F96" t="s">
        <v>1820</v>
      </c>
      <c r="G96" s="7">
        <v>37.75</v>
      </c>
      <c r="H96" s="6">
        <f>+G96*L96</f>
        <v>2249.7644397499998</v>
      </c>
      <c r="I96" s="6">
        <f>+[72]Main!$L$5-[72]Main!$L$6</f>
        <v>621.18900000000008</v>
      </c>
      <c r="J96" s="6">
        <f>+H96-I96</f>
        <v>1628.5754397499998</v>
      </c>
      <c r="K96" s="3" t="s">
        <v>1273</v>
      </c>
      <c r="L96" s="6">
        <f>+[72]Main!$L$3</f>
        <v>59.596409000000001</v>
      </c>
      <c r="M96" s="9">
        <v>45733</v>
      </c>
    </row>
    <row r="97" spans="1:43" x14ac:dyDescent="0.25">
      <c r="A97" t="s">
        <v>330</v>
      </c>
      <c r="D97">
        <f t="shared" si="99"/>
        <v>85</v>
      </c>
      <c r="E97" s="5" t="s">
        <v>533</v>
      </c>
      <c r="F97" t="s">
        <v>534</v>
      </c>
      <c r="G97" s="3">
        <v>305</v>
      </c>
      <c r="H97" s="6">
        <f>+G97*L97</f>
        <v>8509.5</v>
      </c>
      <c r="I97" s="6">
        <f>+[73]Main!$L$5-[73]Main!$L$6</f>
        <v>1400</v>
      </c>
      <c r="J97" s="6">
        <f>+H97-I97</f>
        <v>7109.5</v>
      </c>
      <c r="K97" s="3" t="s">
        <v>2007</v>
      </c>
      <c r="L97" s="6">
        <f>+[73]Main!$L$3</f>
        <v>27.9</v>
      </c>
      <c r="M97" s="9">
        <v>46226</v>
      </c>
    </row>
    <row r="98" spans="1:43" x14ac:dyDescent="0.25">
      <c r="A98" t="s">
        <v>330</v>
      </c>
      <c r="B98"/>
      <c r="C98"/>
      <c r="D98">
        <f t="shared" si="99"/>
        <v>86</v>
      </c>
      <c r="E98" t="s">
        <v>1062</v>
      </c>
      <c r="F98" s="1" t="s">
        <v>1982</v>
      </c>
      <c r="G98" s="17">
        <v>1090.4000000000001</v>
      </c>
      <c r="H98" s="6"/>
    </row>
    <row r="99" spans="1:43" x14ac:dyDescent="0.25">
      <c r="A99" t="s">
        <v>330</v>
      </c>
      <c r="B99"/>
      <c r="C99"/>
      <c r="D99">
        <f t="shared" si="99"/>
        <v>87</v>
      </c>
      <c r="E99" t="s">
        <v>1848</v>
      </c>
      <c r="F99" t="s">
        <v>1849</v>
      </c>
      <c r="G99" s="14">
        <v>198</v>
      </c>
      <c r="H99" s="6"/>
    </row>
    <row r="100" spans="1:43" x14ac:dyDescent="0.25">
      <c r="A100"/>
      <c r="B100"/>
      <c r="C100"/>
      <c r="D100">
        <f t="shared" ref="D100:D107" si="100">+D99+1</f>
        <v>88</v>
      </c>
      <c r="E100" s="5" t="s">
        <v>131</v>
      </c>
      <c r="F100" s="1" t="s">
        <v>132</v>
      </c>
      <c r="G100" s="7">
        <v>26.36</v>
      </c>
      <c r="H100" s="6">
        <f>+L100*G100</f>
        <v>4340.6571524399997</v>
      </c>
      <c r="I100" s="6">
        <f>+[74]Main!$L$5-[74]Main!$L$6</f>
        <v>673.06</v>
      </c>
      <c r="J100" s="6">
        <f>+H100-I100</f>
        <v>3667.5971524399997</v>
      </c>
      <c r="K100" s="3" t="s">
        <v>1066</v>
      </c>
      <c r="L100" s="6">
        <f>+[74]Main!$L$3</f>
        <v>164.668329</v>
      </c>
      <c r="M100" s="9">
        <v>45540</v>
      </c>
    </row>
    <row r="101" spans="1:43" x14ac:dyDescent="0.25">
      <c r="A101" t="s">
        <v>330</v>
      </c>
      <c r="B101"/>
      <c r="C101"/>
      <c r="D101">
        <f t="shared" si="100"/>
        <v>89</v>
      </c>
      <c r="E101" s="5" t="s">
        <v>194</v>
      </c>
      <c r="F101" s="1" t="s">
        <v>195</v>
      </c>
      <c r="G101" s="7">
        <v>132.99</v>
      </c>
      <c r="H101" s="6">
        <f>+G101*L101</f>
        <v>3824.8652785200002</v>
      </c>
      <c r="I101" s="6">
        <f>+[75]Main!$K$5-[75]Main!$K$6</f>
        <v>694.2120000000001</v>
      </c>
      <c r="J101" s="6">
        <f>+H101-I101</f>
        <v>3130.6532785200002</v>
      </c>
      <c r="K101" s="3" t="s">
        <v>1272</v>
      </c>
      <c r="L101" s="6">
        <f>+[75]Main!$K$3</f>
        <v>28.760548</v>
      </c>
      <c r="M101" s="9">
        <v>45631</v>
      </c>
    </row>
    <row r="102" spans="1:43" x14ac:dyDescent="0.25">
      <c r="A102" t="s">
        <v>330</v>
      </c>
      <c r="B102"/>
      <c r="C102"/>
      <c r="D102">
        <f t="shared" si="100"/>
        <v>90</v>
      </c>
      <c r="E102" s="5" t="s">
        <v>708</v>
      </c>
      <c r="F102" t="s">
        <v>709</v>
      </c>
      <c r="G102" s="7">
        <v>137</v>
      </c>
      <c r="H102" s="6">
        <f>+G102*L102</f>
        <v>8917.0350390000003</v>
      </c>
      <c r="I102" s="6">
        <f>+[76]Main!$L$5-[76]Main!$L$6</f>
        <v>620</v>
      </c>
      <c r="J102" s="6">
        <f>+H102-I102</f>
        <v>8297.0350390000003</v>
      </c>
      <c r="K102" s="3" t="s">
        <v>2007</v>
      </c>
      <c r="L102" s="6">
        <f>+[76]Main!$L$3</f>
        <v>65.087846999999996</v>
      </c>
      <c r="M102" s="9">
        <v>46230</v>
      </c>
    </row>
    <row r="103" spans="1:43" x14ac:dyDescent="0.25">
      <c r="A103" s="1" t="s">
        <v>330</v>
      </c>
      <c r="D103">
        <f t="shared" si="100"/>
        <v>91</v>
      </c>
      <c r="E103" t="s">
        <v>1895</v>
      </c>
      <c r="F103" t="s">
        <v>1896</v>
      </c>
      <c r="G103" s="3">
        <v>16.11</v>
      </c>
      <c r="H103" s="3">
        <v>971</v>
      </c>
    </row>
    <row r="104" spans="1:43" x14ac:dyDescent="0.25">
      <c r="A104" t="s">
        <v>330</v>
      </c>
      <c r="B104"/>
      <c r="C104"/>
      <c r="D104">
        <f t="shared" si="100"/>
        <v>92</v>
      </c>
      <c r="E104" s="5" t="s">
        <v>700</v>
      </c>
      <c r="F104" t="s">
        <v>701</v>
      </c>
      <c r="G104" s="7">
        <v>43.44</v>
      </c>
      <c r="H104" s="6">
        <f>+G104*L104</f>
        <v>2828.7940339199999</v>
      </c>
      <c r="I104" s="6">
        <f>+[77]Main!$L$5-[77]Main!$L$6</f>
        <v>775.48500000000001</v>
      </c>
      <c r="J104" s="6">
        <f>+H104-I104</f>
        <v>2053.3090339199998</v>
      </c>
      <c r="K104" s="3" t="s">
        <v>1272</v>
      </c>
      <c r="L104" s="6">
        <f>+[77]Main!$L$3</f>
        <v>65.119568000000001</v>
      </c>
      <c r="M104" s="9">
        <v>45632</v>
      </c>
    </row>
    <row r="105" spans="1:43" s="33" customFormat="1" ht="13" x14ac:dyDescent="0.3">
      <c r="A105" s="33" t="s">
        <v>330</v>
      </c>
      <c r="B105" s="33">
        <v>7</v>
      </c>
      <c r="C105" s="33">
        <v>3</v>
      </c>
      <c r="D105" s="33">
        <f t="shared" si="100"/>
        <v>93</v>
      </c>
      <c r="E105" s="57" t="s">
        <v>727</v>
      </c>
      <c r="F105" s="33" t="s">
        <v>728</v>
      </c>
      <c r="G105" s="34">
        <v>80</v>
      </c>
      <c r="H105" s="35">
        <f>+G105*L105</f>
        <v>7494.4104000000007</v>
      </c>
      <c r="I105" s="35">
        <v>1274.124</v>
      </c>
      <c r="J105" s="35">
        <f>+H105-I105</f>
        <v>6220.2864000000009</v>
      </c>
      <c r="K105" s="58" t="s">
        <v>2007</v>
      </c>
      <c r="L105" s="35">
        <v>93.680130000000005</v>
      </c>
      <c r="M105" s="59">
        <v>46209</v>
      </c>
      <c r="N105" s="58"/>
      <c r="O105" s="58"/>
      <c r="P105" s="58"/>
      <c r="Q105" s="58"/>
      <c r="R105" s="58"/>
      <c r="S105" s="60"/>
      <c r="T105" s="60"/>
      <c r="U105" s="60"/>
      <c r="V105" s="60"/>
      <c r="W105" s="117"/>
      <c r="X105" s="60"/>
      <c r="Y105" s="60"/>
      <c r="Z105" s="60"/>
      <c r="AA105" s="60"/>
      <c r="AB105" s="127"/>
      <c r="AC105" s="106"/>
      <c r="AD105" s="106"/>
      <c r="AE105" s="106"/>
      <c r="AF105" s="106"/>
      <c r="AG105" s="106"/>
      <c r="AH105" s="106"/>
      <c r="AI105" s="106"/>
      <c r="AJ105" s="106"/>
      <c r="AK105" s="106"/>
      <c r="AO105" s="58"/>
      <c r="AP105" s="58"/>
      <c r="AQ105" s="58"/>
    </row>
    <row r="106" spans="1:43" x14ac:dyDescent="0.25">
      <c r="A106" t="s">
        <v>330</v>
      </c>
      <c r="B106"/>
      <c r="C106"/>
      <c r="D106" s="1">
        <f t="shared" si="100"/>
        <v>94</v>
      </c>
      <c r="E106" s="5" t="s">
        <v>270</v>
      </c>
      <c r="F106" t="s">
        <v>271</v>
      </c>
      <c r="G106" s="16">
        <v>4828</v>
      </c>
      <c r="H106" s="6">
        <f>+G106*L106/JPY</f>
        <v>8306.1694910955139</v>
      </c>
      <c r="I106" s="6">
        <f>+([78]Main!$K$5-[78]Main!$K$6)/JPY</f>
        <v>649.26457125419597</v>
      </c>
      <c r="J106" s="6">
        <f>H106-I106</f>
        <v>7656.9049198413177</v>
      </c>
      <c r="K106" s="3" t="s">
        <v>2007</v>
      </c>
      <c r="L106" s="6">
        <f>+[78]Main!$K$3</f>
        <v>281.890197</v>
      </c>
      <c r="M106" s="9">
        <v>46235</v>
      </c>
    </row>
    <row r="107" spans="1:43" x14ac:dyDescent="0.25">
      <c r="A107"/>
      <c r="B107"/>
      <c r="C107"/>
      <c r="D107" s="1">
        <f t="shared" si="100"/>
        <v>95</v>
      </c>
      <c r="E107" t="s">
        <v>690</v>
      </c>
      <c r="F107" t="s">
        <v>691</v>
      </c>
      <c r="G107" s="7">
        <v>15.84</v>
      </c>
      <c r="H107" s="6">
        <v>3500</v>
      </c>
    </row>
    <row r="108" spans="1:43" x14ac:dyDescent="0.25">
      <c r="A108" t="s">
        <v>330</v>
      </c>
      <c r="B108"/>
      <c r="C108"/>
      <c r="D108">
        <f t="shared" ref="D108:D139" si="101">+D107+1</f>
        <v>96</v>
      </c>
      <c r="E108" s="5" t="s">
        <v>208</v>
      </c>
      <c r="F108" s="1" t="s">
        <v>209</v>
      </c>
      <c r="G108" s="7">
        <v>2.4500000000000002</v>
      </c>
      <c r="H108" s="6">
        <f>+G108*L108</f>
        <v>1706.5068741</v>
      </c>
      <c r="I108" s="6">
        <f>+[79]Main!$J$5-[79]Main!$J$6</f>
        <v>-474.93899999999996</v>
      </c>
      <c r="J108" s="6">
        <f>+H108-I108</f>
        <v>2181.4458740999999</v>
      </c>
      <c r="K108" s="3" t="s">
        <v>1066</v>
      </c>
      <c r="L108" s="6">
        <f>+[79]Main!$J$3</f>
        <v>696.53341799999998</v>
      </c>
      <c r="M108" s="9">
        <v>45572</v>
      </c>
    </row>
    <row r="109" spans="1:43" x14ac:dyDescent="0.25">
      <c r="A109" t="s">
        <v>330</v>
      </c>
      <c r="B109"/>
      <c r="C109"/>
      <c r="D109">
        <f t="shared" si="101"/>
        <v>97</v>
      </c>
      <c r="E109" s="5" t="s">
        <v>232</v>
      </c>
      <c r="F109" s="1" t="s">
        <v>233</v>
      </c>
      <c r="G109" s="7">
        <v>23.03</v>
      </c>
      <c r="H109" s="6">
        <f>G109*[80]Main!$J$3</f>
        <v>1481.85328228</v>
      </c>
      <c r="I109" s="8">
        <f>+[80]Main!$J$5-[80]Main!$J$6</f>
        <v>92.317999999999998</v>
      </c>
      <c r="J109" s="6">
        <f>+H109-I109</f>
        <v>1389.53528228</v>
      </c>
      <c r="K109" s="3" t="s">
        <v>15</v>
      </c>
    </row>
    <row r="110" spans="1:43" x14ac:dyDescent="0.25">
      <c r="A110" t="s">
        <v>330</v>
      </c>
      <c r="B110"/>
      <c r="C110"/>
      <c r="D110">
        <f t="shared" si="101"/>
        <v>98</v>
      </c>
      <c r="E110" t="s">
        <v>1857</v>
      </c>
      <c r="F110" t="s">
        <v>1858</v>
      </c>
      <c r="G110" s="54">
        <v>186.9</v>
      </c>
      <c r="H110" s="6"/>
    </row>
    <row r="111" spans="1:43" x14ac:dyDescent="0.25">
      <c r="A111" t="s">
        <v>330</v>
      </c>
      <c r="D111">
        <f t="shared" si="101"/>
        <v>99</v>
      </c>
      <c r="E111" t="s">
        <v>268</v>
      </c>
      <c r="F111" t="s">
        <v>269</v>
      </c>
    </row>
    <row r="112" spans="1:43" x14ac:dyDescent="0.25">
      <c r="A112" t="s">
        <v>330</v>
      </c>
      <c r="B112"/>
      <c r="C112"/>
      <c r="D112">
        <f t="shared" si="101"/>
        <v>100</v>
      </c>
      <c r="E112" s="5" t="s">
        <v>767</v>
      </c>
      <c r="F112" t="s">
        <v>768</v>
      </c>
      <c r="G112" s="7">
        <v>112</v>
      </c>
      <c r="H112" s="6">
        <f>+G112*L112</f>
        <v>7125.6048639999999</v>
      </c>
      <c r="I112" s="6">
        <f>+[81]Main!$K$5-[81]Main!$K$6</f>
        <v>206.554</v>
      </c>
      <c r="J112" s="6">
        <f>+H112-I112</f>
        <v>6919.0508639999998</v>
      </c>
      <c r="K112" s="3" t="s">
        <v>1839</v>
      </c>
      <c r="L112" s="6">
        <f>+[81]Main!$K$3</f>
        <v>63.621471999999997</v>
      </c>
      <c r="M112" s="9">
        <v>45810</v>
      </c>
    </row>
    <row r="113" spans="1:13" x14ac:dyDescent="0.25">
      <c r="A113" t="s">
        <v>330</v>
      </c>
      <c r="B113"/>
      <c r="C113"/>
      <c r="D113">
        <f t="shared" si="101"/>
        <v>101</v>
      </c>
      <c r="E113" s="1" t="s">
        <v>1878</v>
      </c>
      <c r="F113" t="s">
        <v>1879</v>
      </c>
      <c r="G113" s="17">
        <v>434</v>
      </c>
      <c r="H113" s="6"/>
      <c r="I113" s="6"/>
      <c r="J113" s="6"/>
      <c r="L113" s="6"/>
      <c r="M113" s="9"/>
    </row>
    <row r="114" spans="1:13" x14ac:dyDescent="0.25">
      <c r="A114" t="s">
        <v>330</v>
      </c>
      <c r="D114">
        <f t="shared" si="101"/>
        <v>102</v>
      </c>
      <c r="E114" t="s">
        <v>1118</v>
      </c>
      <c r="F114" t="s">
        <v>1119</v>
      </c>
      <c r="G114" s="6">
        <v>10370</v>
      </c>
    </row>
    <row r="115" spans="1:13" x14ac:dyDescent="0.25">
      <c r="A115"/>
      <c r="B115"/>
      <c r="C115"/>
      <c r="D115">
        <f t="shared" si="101"/>
        <v>103</v>
      </c>
      <c r="E115" t="s">
        <v>789</v>
      </c>
      <c r="F115" t="s">
        <v>788</v>
      </c>
      <c r="G115" s="3">
        <v>11.63</v>
      </c>
      <c r="H115" s="6"/>
    </row>
    <row r="116" spans="1:13" x14ac:dyDescent="0.25">
      <c r="A116" t="s">
        <v>330</v>
      </c>
      <c r="B116"/>
      <c r="C116"/>
      <c r="D116">
        <f t="shared" si="101"/>
        <v>104</v>
      </c>
      <c r="E116" t="s">
        <v>1112</v>
      </c>
      <c r="F116" t="s">
        <v>1113</v>
      </c>
      <c r="G116" s="17">
        <v>4902.5</v>
      </c>
      <c r="H116" s="6"/>
    </row>
    <row r="117" spans="1:13" x14ac:dyDescent="0.25">
      <c r="A117" t="s">
        <v>330</v>
      </c>
      <c r="B117"/>
      <c r="C117"/>
      <c r="D117">
        <f t="shared" si="101"/>
        <v>105</v>
      </c>
      <c r="E117" t="s">
        <v>2096</v>
      </c>
      <c r="F117" t="s">
        <v>2097</v>
      </c>
      <c r="G117" s="17"/>
      <c r="H117" s="6"/>
    </row>
    <row r="118" spans="1:13" x14ac:dyDescent="0.25">
      <c r="A118" t="s">
        <v>330</v>
      </c>
      <c r="D118">
        <f t="shared" si="101"/>
        <v>106</v>
      </c>
      <c r="E118" t="s">
        <v>1892</v>
      </c>
      <c r="F118" t="s">
        <v>1893</v>
      </c>
      <c r="G118" s="20">
        <v>66.75</v>
      </c>
    </row>
    <row r="119" spans="1:13" x14ac:dyDescent="0.25">
      <c r="A119" t="s">
        <v>330</v>
      </c>
      <c r="B119"/>
      <c r="C119"/>
      <c r="D119">
        <f t="shared" si="101"/>
        <v>107</v>
      </c>
      <c r="E119" t="s">
        <v>775</v>
      </c>
      <c r="F119" t="s">
        <v>1985</v>
      </c>
      <c r="G119" s="17">
        <v>2074.9</v>
      </c>
      <c r="H119" s="6"/>
    </row>
    <row r="120" spans="1:13" x14ac:dyDescent="0.25">
      <c r="A120" s="1" t="s">
        <v>330</v>
      </c>
      <c r="B120"/>
      <c r="C120"/>
      <c r="D120">
        <f t="shared" si="101"/>
        <v>108</v>
      </c>
      <c r="E120" t="s">
        <v>1868</v>
      </c>
      <c r="F120" t="s">
        <v>1869</v>
      </c>
      <c r="G120" s="3">
        <v>26.75</v>
      </c>
    </row>
    <row r="121" spans="1:13" x14ac:dyDescent="0.25">
      <c r="A121" t="s">
        <v>330</v>
      </c>
      <c r="B121"/>
      <c r="C121"/>
      <c r="D121">
        <f t="shared" si="101"/>
        <v>109</v>
      </c>
      <c r="E121" t="s">
        <v>755</v>
      </c>
      <c r="F121" t="s">
        <v>756</v>
      </c>
      <c r="G121" s="7">
        <v>51.92</v>
      </c>
    </row>
    <row r="122" spans="1:13" x14ac:dyDescent="0.25">
      <c r="A122" t="s">
        <v>330</v>
      </c>
      <c r="B122"/>
      <c r="C122"/>
      <c r="D122">
        <f t="shared" si="101"/>
        <v>110</v>
      </c>
      <c r="E122" s="5" t="s">
        <v>1974</v>
      </c>
      <c r="F122" t="s">
        <v>1975</v>
      </c>
      <c r="G122" s="7">
        <v>67.680000000000007</v>
      </c>
      <c r="H122" s="6">
        <f>+G122*L122</f>
        <v>2066.8374230400004</v>
      </c>
      <c r="I122" s="6">
        <f>+[82]Sheet1!$M$5-[82]Sheet1!$M$6</f>
        <v>145.149</v>
      </c>
      <c r="J122" s="6">
        <f>+H122-I122</f>
        <v>1921.6884230400005</v>
      </c>
      <c r="K122" s="3" t="s">
        <v>1273</v>
      </c>
      <c r="L122" s="6">
        <f>+[82]Sheet1!$M$3</f>
        <v>30.538378000000002</v>
      </c>
      <c r="M122" s="9">
        <v>45824</v>
      </c>
    </row>
    <row r="123" spans="1:13" x14ac:dyDescent="0.25">
      <c r="A123" t="s">
        <v>330</v>
      </c>
      <c r="B123"/>
      <c r="C123"/>
      <c r="D123">
        <f t="shared" si="101"/>
        <v>111</v>
      </c>
      <c r="E123" s="5" t="s">
        <v>1286</v>
      </c>
      <c r="F123" t="s">
        <v>1287</v>
      </c>
      <c r="G123" s="7">
        <v>26.93</v>
      </c>
      <c r="H123" s="6">
        <f>+G123*L123</f>
        <v>2155.2617599999999</v>
      </c>
      <c r="I123" s="6">
        <f>+[83]Main!$K$5-[83]Main!$K$6</f>
        <v>140.42099999999999</v>
      </c>
      <c r="J123" s="6">
        <f>+H123-I123</f>
        <v>2014.8407599999998</v>
      </c>
      <c r="K123" s="3" t="s">
        <v>1066</v>
      </c>
      <c r="L123" s="6">
        <f>+[83]Main!$K$3</f>
        <v>80.031999999999996</v>
      </c>
      <c r="M123" s="9">
        <v>45572</v>
      </c>
    </row>
    <row r="124" spans="1:13" x14ac:dyDescent="0.25">
      <c r="A124" t="s">
        <v>330</v>
      </c>
      <c r="B124"/>
      <c r="C124"/>
      <c r="D124">
        <f t="shared" si="101"/>
        <v>112</v>
      </c>
      <c r="E124" s="5" t="s">
        <v>506</v>
      </c>
      <c r="F124" t="s">
        <v>507</v>
      </c>
      <c r="G124" s="7">
        <v>20</v>
      </c>
      <c r="H124" s="6">
        <f>+G124*L124</f>
        <v>6219.6908399999993</v>
      </c>
      <c r="I124" s="6">
        <f>+[84]Main!$I$5-[84]Main!$I$6</f>
        <v>408.50700000000001</v>
      </c>
      <c r="J124" s="6">
        <f>+H124-I124</f>
        <v>5811.1838399999997</v>
      </c>
      <c r="K124" s="3" t="s">
        <v>2007</v>
      </c>
      <c r="L124" s="6">
        <f>+[84]Main!$I$3</f>
        <v>310.98454199999998</v>
      </c>
      <c r="M124" s="9">
        <v>46219</v>
      </c>
    </row>
    <row r="125" spans="1:13" x14ac:dyDescent="0.25">
      <c r="A125" t="s">
        <v>330</v>
      </c>
      <c r="B125"/>
      <c r="C125"/>
      <c r="D125">
        <f t="shared" si="101"/>
        <v>113</v>
      </c>
      <c r="E125" t="s">
        <v>1854</v>
      </c>
      <c r="F125" t="s">
        <v>1855</v>
      </c>
      <c r="G125" s="14">
        <v>394</v>
      </c>
      <c r="H125" s="6"/>
      <c r="I125" s="6"/>
      <c r="J125" s="6"/>
      <c r="L125" s="6"/>
      <c r="M125" s="9"/>
    </row>
    <row r="126" spans="1:13" x14ac:dyDescent="0.25">
      <c r="A126" t="s">
        <v>330</v>
      </c>
      <c r="B126"/>
      <c r="C126"/>
      <c r="D126">
        <f t="shared" si="101"/>
        <v>114</v>
      </c>
      <c r="E126" t="s">
        <v>2098</v>
      </c>
      <c r="F126" t="s">
        <v>2099</v>
      </c>
      <c r="G126" s="14"/>
      <c r="H126" s="6"/>
      <c r="I126" s="6"/>
      <c r="J126" s="6"/>
      <c r="L126" s="6"/>
      <c r="M126" s="9"/>
    </row>
    <row r="127" spans="1:13" x14ac:dyDescent="0.25">
      <c r="A127" t="s">
        <v>330</v>
      </c>
      <c r="B127"/>
      <c r="C127"/>
      <c r="D127">
        <f t="shared" si="101"/>
        <v>115</v>
      </c>
      <c r="E127" s="5" t="s">
        <v>677</v>
      </c>
      <c r="F127" t="s">
        <v>1821</v>
      </c>
      <c r="G127" s="54">
        <v>33.78</v>
      </c>
      <c r="H127" s="6">
        <f>+G127*L127/DKK</f>
        <v>5166.7452226352243</v>
      </c>
      <c r="I127" s="6">
        <f>([85]Main!$K$5-[85]Main!$K$6)/DKK</f>
        <v>388.51273192775733</v>
      </c>
      <c r="J127" s="6">
        <f>+H127-I127</f>
        <v>4778.2324907074672</v>
      </c>
      <c r="K127" s="3" t="s">
        <v>1066</v>
      </c>
      <c r="L127" s="6">
        <f>+[85]Main!$K$3</f>
        <v>991.7</v>
      </c>
      <c r="M127" s="9">
        <v>45581</v>
      </c>
    </row>
    <row r="128" spans="1:13" x14ac:dyDescent="0.25">
      <c r="A128" t="s">
        <v>330</v>
      </c>
      <c r="B128"/>
      <c r="C128"/>
      <c r="D128">
        <f t="shared" si="101"/>
        <v>116</v>
      </c>
      <c r="E128" t="s">
        <v>2101</v>
      </c>
      <c r="F128" t="s">
        <v>2102</v>
      </c>
      <c r="G128" s="54"/>
      <c r="H128" s="6"/>
      <c r="I128" s="6"/>
      <c r="J128" s="6"/>
      <c r="L128" s="6"/>
      <c r="M128" s="9"/>
    </row>
    <row r="129" spans="1:43" x14ac:dyDescent="0.25">
      <c r="A129" t="s">
        <v>330</v>
      </c>
      <c r="B129"/>
      <c r="C129"/>
      <c r="D129">
        <f t="shared" si="101"/>
        <v>117</v>
      </c>
      <c r="E129" s="1" t="s">
        <v>186</v>
      </c>
      <c r="F129" s="1" t="s">
        <v>187</v>
      </c>
      <c r="G129" s="7">
        <v>34.1</v>
      </c>
      <c r="H129" s="6">
        <v>2360</v>
      </c>
    </row>
    <row r="130" spans="1:43" x14ac:dyDescent="0.25">
      <c r="A130" t="s">
        <v>330</v>
      </c>
      <c r="B130"/>
      <c r="C130"/>
      <c r="D130">
        <f t="shared" si="101"/>
        <v>118</v>
      </c>
      <c r="E130" t="s">
        <v>2108</v>
      </c>
      <c r="F130" t="s">
        <v>2109</v>
      </c>
      <c r="G130" s="7"/>
      <c r="H130" s="6"/>
    </row>
    <row r="131" spans="1:43" x14ac:dyDescent="0.25">
      <c r="A131" t="s">
        <v>330</v>
      </c>
      <c r="B131"/>
      <c r="C131"/>
      <c r="D131">
        <f t="shared" si="101"/>
        <v>119</v>
      </c>
      <c r="E131" s="1" t="s">
        <v>175</v>
      </c>
      <c r="F131" s="1" t="s">
        <v>176</v>
      </c>
      <c r="G131" s="7">
        <v>51.8</v>
      </c>
      <c r="H131" s="6">
        <v>2540</v>
      </c>
    </row>
    <row r="132" spans="1:43" x14ac:dyDescent="0.25">
      <c r="A132" t="s">
        <v>330</v>
      </c>
      <c r="B132"/>
      <c r="C132"/>
      <c r="D132">
        <f t="shared" si="101"/>
        <v>120</v>
      </c>
      <c r="E132" t="s">
        <v>2110</v>
      </c>
      <c r="F132" t="s">
        <v>2111</v>
      </c>
      <c r="G132" s="7"/>
      <c r="H132" s="6"/>
    </row>
    <row r="133" spans="1:43" s="24" customFormat="1" ht="13" x14ac:dyDescent="0.3">
      <c r="A133" t="s">
        <v>330</v>
      </c>
      <c r="D133">
        <f t="shared" si="101"/>
        <v>121</v>
      </c>
      <c r="E133" t="s">
        <v>763</v>
      </c>
      <c r="F133" t="s">
        <v>764</v>
      </c>
      <c r="G133" s="52">
        <v>32.9</v>
      </c>
      <c r="H133" s="29">
        <v>800</v>
      </c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43"/>
      <c r="T133" s="43"/>
      <c r="U133" s="43"/>
      <c r="V133" s="43"/>
      <c r="W133" s="116"/>
      <c r="X133" s="43"/>
      <c r="Y133" s="43"/>
      <c r="Z133" s="43"/>
      <c r="AA133" s="43"/>
      <c r="AB133" s="126"/>
      <c r="AC133" s="101"/>
      <c r="AD133" s="101"/>
      <c r="AE133" s="101"/>
      <c r="AF133" s="101"/>
      <c r="AG133" s="101"/>
      <c r="AH133" s="101"/>
      <c r="AI133" s="101"/>
      <c r="AJ133" s="101"/>
      <c r="AK133" s="101"/>
      <c r="AO133" s="25"/>
      <c r="AP133" s="25"/>
      <c r="AQ133" s="25"/>
    </row>
    <row r="134" spans="1:43" x14ac:dyDescent="0.25">
      <c r="A134" t="s">
        <v>330</v>
      </c>
      <c r="B134"/>
      <c r="C134"/>
      <c r="D134">
        <f t="shared" si="101"/>
        <v>122</v>
      </c>
      <c r="E134" t="s">
        <v>718</v>
      </c>
      <c r="F134" t="s">
        <v>719</v>
      </c>
      <c r="G134" s="3">
        <v>134.46</v>
      </c>
    </row>
    <row r="135" spans="1:43" x14ac:dyDescent="0.25">
      <c r="A135" t="s">
        <v>330</v>
      </c>
      <c r="B135"/>
      <c r="C135"/>
      <c r="D135">
        <f t="shared" si="101"/>
        <v>123</v>
      </c>
      <c r="E135" t="s">
        <v>856</v>
      </c>
      <c r="F135" t="s">
        <v>857</v>
      </c>
      <c r="G135" s="3">
        <v>8.4600000000000009</v>
      </c>
    </row>
    <row r="136" spans="1:43" x14ac:dyDescent="0.25">
      <c r="A136" t="s">
        <v>330</v>
      </c>
      <c r="D136">
        <f t="shared" si="101"/>
        <v>124</v>
      </c>
      <c r="E136" s="1" t="s">
        <v>100</v>
      </c>
      <c r="F136" s="1" t="s">
        <v>101</v>
      </c>
      <c r="G136" s="7">
        <v>35</v>
      </c>
    </row>
    <row r="137" spans="1:43" x14ac:dyDescent="0.25">
      <c r="A137" t="s">
        <v>330</v>
      </c>
      <c r="D137">
        <f t="shared" si="101"/>
        <v>125</v>
      </c>
      <c r="E137" s="5" t="s">
        <v>292</v>
      </c>
      <c r="F137" t="s">
        <v>293</v>
      </c>
      <c r="G137" s="21">
        <v>1930</v>
      </c>
      <c r="H137" s="6">
        <f>+G137*L137/100*GBP</f>
        <v>5703.1657959885006</v>
      </c>
      <c r="I137" s="6">
        <f>+[86]Main!$K$5-[86]Main!$K$6</f>
        <v>-1276</v>
      </c>
      <c r="J137" s="6">
        <f>+H137-I137</f>
        <v>6979.1657959885006</v>
      </c>
      <c r="K137" s="3" t="s">
        <v>1066</v>
      </c>
      <c r="L137" s="6">
        <f>+[86]Main!$K$3</f>
        <v>221.74757500000001</v>
      </c>
      <c r="M137" s="9">
        <v>45541</v>
      </c>
    </row>
    <row r="138" spans="1:43" x14ac:dyDescent="0.25">
      <c r="A138" t="s">
        <v>330</v>
      </c>
      <c r="B138"/>
      <c r="C138"/>
      <c r="D138">
        <f t="shared" si="101"/>
        <v>126</v>
      </c>
      <c r="E138" s="5" t="s">
        <v>116</v>
      </c>
      <c r="F138" s="1" t="s">
        <v>117</v>
      </c>
      <c r="G138" s="7">
        <v>62.4</v>
      </c>
      <c r="H138" s="6">
        <f>G138*L138</f>
        <v>6018.4046208</v>
      </c>
      <c r="I138" s="6">
        <f>[87]Main!$L$5-[87]Main!$L$6</f>
        <v>1856.3149999999998</v>
      </c>
      <c r="J138" s="6">
        <f>+H138-I138</f>
        <v>4162.0896208000004</v>
      </c>
      <c r="K138" s="3" t="s">
        <v>2007</v>
      </c>
      <c r="L138" s="6">
        <f>[87]Main!$L$3</f>
        <v>96.448791999999997</v>
      </c>
      <c r="M138" s="9">
        <v>46209</v>
      </c>
    </row>
    <row r="139" spans="1:43" x14ac:dyDescent="0.25">
      <c r="A139" t="s">
        <v>330</v>
      </c>
      <c r="B139"/>
      <c r="C139"/>
      <c r="D139">
        <f t="shared" si="101"/>
        <v>127</v>
      </c>
      <c r="E139" s="1" t="s">
        <v>2118</v>
      </c>
      <c r="F139" s="1" t="s">
        <v>2119</v>
      </c>
      <c r="G139" s="7"/>
      <c r="H139" s="6"/>
      <c r="I139" s="6"/>
      <c r="J139" s="6"/>
      <c r="L139" s="6"/>
      <c r="M139" s="9"/>
    </row>
    <row r="140" spans="1:43" x14ac:dyDescent="0.25">
      <c r="A140" t="s">
        <v>330</v>
      </c>
      <c r="B140"/>
      <c r="C140"/>
      <c r="D140">
        <f t="shared" ref="D140:D171" si="102">+D139+1</f>
        <v>128</v>
      </c>
      <c r="E140" s="5" t="s">
        <v>121</v>
      </c>
      <c r="F140" s="1" t="s">
        <v>122</v>
      </c>
      <c r="G140" s="3">
        <v>25.78</v>
      </c>
      <c r="H140" s="6">
        <f>+G140*L140</f>
        <v>4283.9657200000001</v>
      </c>
      <c r="I140" s="6">
        <f>+[88]Main!$K$5-[88]Main!$K$6</f>
        <v>851</v>
      </c>
      <c r="J140" s="6">
        <f>+H140-I140</f>
        <v>3432.9657200000001</v>
      </c>
      <c r="K140" s="3" t="s">
        <v>2007</v>
      </c>
      <c r="L140" s="6">
        <f>+[88]Main!$K$3</f>
        <v>166.17400000000001</v>
      </c>
      <c r="M140" s="9">
        <v>46210</v>
      </c>
    </row>
    <row r="141" spans="1:43" x14ac:dyDescent="0.25">
      <c r="A141" t="s">
        <v>330</v>
      </c>
      <c r="B141">
        <v>6</v>
      </c>
      <c r="C141">
        <v>1</v>
      </c>
      <c r="D141">
        <f t="shared" si="102"/>
        <v>129</v>
      </c>
      <c r="E141" s="5" t="s">
        <v>781</v>
      </c>
      <c r="F141" t="s">
        <v>782</v>
      </c>
      <c r="G141" s="3">
        <v>10.33</v>
      </c>
      <c r="H141" s="6">
        <f>+G141*L141</f>
        <v>1168.5436178100001</v>
      </c>
      <c r="I141" s="6">
        <f>+[89]Main!$K$5-[89]Main!$K$6</f>
        <v>642.26800000000003</v>
      </c>
      <c r="J141" s="6">
        <f>+H141-I141</f>
        <v>526.27561781000009</v>
      </c>
      <c r="K141" s="3" t="s">
        <v>1273</v>
      </c>
      <c r="L141" s="6">
        <f>+[89]Main!$K$3</f>
        <v>113.121357</v>
      </c>
      <c r="M141" s="9">
        <v>45751</v>
      </c>
    </row>
    <row r="142" spans="1:43" x14ac:dyDescent="0.25">
      <c r="A142" t="s">
        <v>330</v>
      </c>
      <c r="B142"/>
      <c r="C142"/>
      <c r="D142">
        <f t="shared" si="102"/>
        <v>130</v>
      </c>
      <c r="E142" s="5" t="s">
        <v>2071</v>
      </c>
      <c r="F142" t="s">
        <v>2070</v>
      </c>
      <c r="G142" s="7">
        <v>126.44</v>
      </c>
      <c r="H142" s="6">
        <f>+G142*L142</f>
        <v>5282.4971842799996</v>
      </c>
      <c r="I142" s="6">
        <f>+[90]Main!$J$5-[90]Main!$J$6</f>
        <v>390.79700000000003</v>
      </c>
      <c r="J142" s="6">
        <f>+H142-I142</f>
        <v>4891.70018428</v>
      </c>
      <c r="K142" s="3" t="s">
        <v>2007</v>
      </c>
      <c r="L142" s="6">
        <f>+[90]Main!$J$3</f>
        <v>41.778686999999998</v>
      </c>
      <c r="M142" s="9">
        <v>46209</v>
      </c>
    </row>
    <row r="143" spans="1:43" x14ac:dyDescent="0.25">
      <c r="A143" t="s">
        <v>330</v>
      </c>
      <c r="B143"/>
      <c r="C143"/>
      <c r="D143">
        <f t="shared" si="102"/>
        <v>131</v>
      </c>
      <c r="E143" s="5" t="s">
        <v>844</v>
      </c>
      <c r="F143" t="s">
        <v>845</v>
      </c>
      <c r="G143" s="3">
        <v>13.72</v>
      </c>
      <c r="H143" s="6">
        <f>+G143*L143</f>
        <v>1286.5557913600001</v>
      </c>
      <c r="I143" s="6">
        <f>+[91]Main!$J$5-[91]Main!$J$6</f>
        <v>511.75100000000003</v>
      </c>
      <c r="J143" s="6">
        <f>+H143-I143</f>
        <v>774.80479136000008</v>
      </c>
      <c r="K143" s="3" t="s">
        <v>1066</v>
      </c>
      <c r="L143" s="6">
        <f>+[91]Main!$J$3</f>
        <v>93.772288000000003</v>
      </c>
      <c r="M143" s="9">
        <v>45554</v>
      </c>
    </row>
    <row r="144" spans="1:43" x14ac:dyDescent="0.25">
      <c r="A144" t="s">
        <v>330</v>
      </c>
      <c r="B144"/>
      <c r="C144"/>
      <c r="D144">
        <f t="shared" si="102"/>
        <v>132</v>
      </c>
      <c r="E144" s="5" t="s">
        <v>1979</v>
      </c>
      <c r="F144" t="s">
        <v>1980</v>
      </c>
      <c r="G144" s="7">
        <v>143</v>
      </c>
      <c r="H144" s="6">
        <f>+G144*L144</f>
        <v>6912.1445249999997</v>
      </c>
      <c r="L144" s="6">
        <f>+[92]Main!$L$3</f>
        <v>48.336675</v>
      </c>
    </row>
    <row r="145" spans="1:43" x14ac:dyDescent="0.25">
      <c r="A145" t="s">
        <v>330</v>
      </c>
      <c r="B145"/>
      <c r="C145"/>
      <c r="D145">
        <f t="shared" si="102"/>
        <v>133</v>
      </c>
      <c r="E145" s="100" t="s">
        <v>1861</v>
      </c>
      <c r="F145" t="s">
        <v>1862</v>
      </c>
      <c r="G145" s="40">
        <v>96100</v>
      </c>
      <c r="H145" s="6"/>
      <c r="I145" s="6"/>
      <c r="J145" s="6"/>
      <c r="L145" s="6"/>
      <c r="M145" s="9"/>
    </row>
    <row r="146" spans="1:43" x14ac:dyDescent="0.25">
      <c r="A146" t="s">
        <v>330</v>
      </c>
      <c r="B146"/>
      <c r="C146"/>
      <c r="D146">
        <f t="shared" si="102"/>
        <v>134</v>
      </c>
      <c r="E146" t="s">
        <v>1894</v>
      </c>
      <c r="F146" t="s">
        <v>1986</v>
      </c>
      <c r="G146" s="17">
        <v>1442.15</v>
      </c>
      <c r="H146" s="6"/>
      <c r="I146" s="6"/>
      <c r="J146" s="6"/>
      <c r="L146" s="6"/>
      <c r="M146" s="9"/>
    </row>
    <row r="147" spans="1:43" x14ac:dyDescent="0.25">
      <c r="A147" t="s">
        <v>330</v>
      </c>
      <c r="B147"/>
      <c r="C147"/>
      <c r="D147">
        <f t="shared" si="102"/>
        <v>135</v>
      </c>
      <c r="E147" t="s">
        <v>2128</v>
      </c>
      <c r="F147" t="s">
        <v>2129</v>
      </c>
      <c r="G147" s="17"/>
      <c r="H147" s="6"/>
      <c r="I147" s="6"/>
      <c r="J147" s="6"/>
      <c r="L147" s="6"/>
      <c r="M147" s="9"/>
    </row>
    <row r="148" spans="1:43" x14ac:dyDescent="0.25">
      <c r="A148" t="s">
        <v>330</v>
      </c>
      <c r="B148"/>
      <c r="C148"/>
      <c r="D148">
        <f t="shared" si="102"/>
        <v>136</v>
      </c>
      <c r="E148" t="s">
        <v>2130</v>
      </c>
      <c r="F148" t="s">
        <v>2131</v>
      </c>
      <c r="G148" s="17"/>
      <c r="H148" s="6"/>
      <c r="I148" s="6"/>
      <c r="J148" s="6"/>
      <c r="L148" s="6"/>
      <c r="M148" s="9"/>
    </row>
    <row r="149" spans="1:43" x14ac:dyDescent="0.25">
      <c r="A149" t="s">
        <v>330</v>
      </c>
      <c r="B149"/>
      <c r="C149"/>
      <c r="D149">
        <f t="shared" si="102"/>
        <v>137</v>
      </c>
      <c r="E149" s="1" t="s">
        <v>1850</v>
      </c>
      <c r="F149" t="s">
        <v>1851</v>
      </c>
      <c r="G149" s="40">
        <v>112600</v>
      </c>
      <c r="H149" s="6"/>
      <c r="I149" s="6"/>
      <c r="J149" s="6"/>
      <c r="L149" s="6"/>
      <c r="M149" s="9"/>
    </row>
    <row r="150" spans="1:43" x14ac:dyDescent="0.25">
      <c r="A150" t="s">
        <v>330</v>
      </c>
      <c r="B150"/>
      <c r="C150"/>
      <c r="D150">
        <f t="shared" si="102"/>
        <v>138</v>
      </c>
      <c r="E150" t="s">
        <v>2132</v>
      </c>
      <c r="F150" t="s">
        <v>2133</v>
      </c>
      <c r="G150" s="40"/>
      <c r="H150" s="6"/>
      <c r="I150" s="6"/>
      <c r="J150" s="6"/>
      <c r="L150" s="6"/>
      <c r="M150" s="9"/>
    </row>
    <row r="151" spans="1:43" x14ac:dyDescent="0.25">
      <c r="A151" t="s">
        <v>330</v>
      </c>
      <c r="B151"/>
      <c r="C151"/>
      <c r="D151">
        <f t="shared" si="102"/>
        <v>139</v>
      </c>
      <c r="E151" s="5" t="s">
        <v>680</v>
      </c>
      <c r="F151" t="s">
        <v>681</v>
      </c>
      <c r="G151" s="3">
        <v>25.71</v>
      </c>
      <c r="H151" s="6">
        <f>G151*L151</f>
        <v>4808.7983999999997</v>
      </c>
      <c r="I151" s="6">
        <f>[93]Main!$K$5-[93]Main!$K$6</f>
        <v>1051.4690000000001</v>
      </c>
      <c r="J151" s="6">
        <f>+H151-I151</f>
        <v>3757.3293999999996</v>
      </c>
      <c r="K151" s="3" t="s">
        <v>2007</v>
      </c>
      <c r="L151" s="6">
        <f>[93]Main!$K$3</f>
        <v>187.04</v>
      </c>
      <c r="M151" s="9">
        <v>46210</v>
      </c>
    </row>
    <row r="152" spans="1:43" customFormat="1" x14ac:dyDescent="0.25">
      <c r="A152" t="s">
        <v>330</v>
      </c>
      <c r="D152">
        <f t="shared" si="102"/>
        <v>140</v>
      </c>
      <c r="E152" s="5" t="s">
        <v>1054</v>
      </c>
      <c r="F152" t="s">
        <v>1055</v>
      </c>
      <c r="G152" s="52">
        <v>34.049999999999997</v>
      </c>
      <c r="H152" s="29">
        <f>+G152*L152</f>
        <v>3934.6136999999999</v>
      </c>
      <c r="I152" s="29">
        <f>+[94]Main!$K$5-[94]Main!$K$6</f>
        <v>705.73900000000003</v>
      </c>
      <c r="J152" s="29">
        <f>+H152-I152</f>
        <v>3228.8746999999998</v>
      </c>
      <c r="K152" s="27" t="s">
        <v>2004</v>
      </c>
      <c r="L152" s="29">
        <f>+[94]Main!$K$3</f>
        <v>115.554</v>
      </c>
      <c r="M152" s="36">
        <v>46118</v>
      </c>
      <c r="N152" s="27"/>
      <c r="O152" s="27"/>
      <c r="P152" s="27"/>
      <c r="Q152" s="27"/>
      <c r="R152" s="27"/>
      <c r="S152" s="56"/>
      <c r="T152" s="56"/>
      <c r="U152" s="56"/>
      <c r="V152" s="56"/>
      <c r="W152" s="118"/>
      <c r="X152" s="56"/>
      <c r="Y152" s="56"/>
      <c r="Z152" s="56"/>
      <c r="AA152" s="56"/>
      <c r="AB152" s="128"/>
      <c r="AC152" s="102"/>
      <c r="AD152" s="102"/>
      <c r="AE152" s="102"/>
      <c r="AF152" s="102"/>
      <c r="AG152" s="102"/>
      <c r="AH152" s="102"/>
      <c r="AI152" s="102"/>
      <c r="AJ152" s="102"/>
      <c r="AK152" s="102"/>
      <c r="AO152" s="27"/>
      <c r="AP152" s="27"/>
      <c r="AQ152" s="27"/>
    </row>
    <row r="153" spans="1:43" x14ac:dyDescent="0.25">
      <c r="A153" t="s">
        <v>330</v>
      </c>
      <c r="B153"/>
      <c r="C153"/>
      <c r="D153">
        <f t="shared" si="102"/>
        <v>141</v>
      </c>
      <c r="E153" t="s">
        <v>1865</v>
      </c>
      <c r="F153" t="s">
        <v>1866</v>
      </c>
      <c r="G153" s="7"/>
    </row>
    <row r="154" spans="1:43" x14ac:dyDescent="0.25">
      <c r="A154" s="1" t="s">
        <v>330</v>
      </c>
      <c r="D154">
        <f t="shared" si="102"/>
        <v>142</v>
      </c>
      <c r="E154" t="s">
        <v>522</v>
      </c>
      <c r="F154" t="s">
        <v>521</v>
      </c>
      <c r="G154" s="7">
        <v>18.79</v>
      </c>
    </row>
    <row r="155" spans="1:43" x14ac:dyDescent="0.25">
      <c r="A155" t="s">
        <v>330</v>
      </c>
      <c r="B155"/>
      <c r="C155"/>
      <c r="D155">
        <f t="shared" si="102"/>
        <v>143</v>
      </c>
      <c r="E155" t="s">
        <v>878</v>
      </c>
      <c r="F155" t="s">
        <v>879</v>
      </c>
      <c r="G155" s="7">
        <v>6.51</v>
      </c>
      <c r="H155" s="3">
        <v>145</v>
      </c>
    </row>
    <row r="156" spans="1:43" x14ac:dyDescent="0.25">
      <c r="A156" t="s">
        <v>330</v>
      </c>
      <c r="B156"/>
      <c r="C156"/>
      <c r="D156">
        <f t="shared" si="102"/>
        <v>144</v>
      </c>
      <c r="E156" s="1" t="s">
        <v>173</v>
      </c>
      <c r="F156" s="1" t="s">
        <v>174</v>
      </c>
      <c r="G156" s="3">
        <v>3.69</v>
      </c>
      <c r="H156" s="6">
        <v>1720</v>
      </c>
    </row>
    <row r="157" spans="1:43" x14ac:dyDescent="0.25">
      <c r="A157" t="s">
        <v>330</v>
      </c>
      <c r="D157">
        <f t="shared" si="102"/>
        <v>145</v>
      </c>
      <c r="E157" s="5" t="s">
        <v>114</v>
      </c>
      <c r="F157" s="1" t="s">
        <v>115</v>
      </c>
      <c r="G157" s="7">
        <v>38.880000000000003</v>
      </c>
      <c r="H157" s="6">
        <f>+G157*L157</f>
        <v>7099.5687537600006</v>
      </c>
      <c r="I157" s="6">
        <f>+[95]Main!$K$5-[95]Main!$K$6</f>
        <v>1008.441</v>
      </c>
      <c r="J157" s="6">
        <f>+H157-I157</f>
        <v>6091.1277537600008</v>
      </c>
      <c r="K157" s="3" t="s">
        <v>1066</v>
      </c>
      <c r="L157" s="6">
        <f>+[95]Main!$K$3</f>
        <v>182.60207700000001</v>
      </c>
      <c r="M157" s="9">
        <v>45574</v>
      </c>
    </row>
    <row r="158" spans="1:43" x14ac:dyDescent="0.25">
      <c r="A158"/>
      <c r="D158">
        <f t="shared" si="102"/>
        <v>146</v>
      </c>
      <c r="E158" t="s">
        <v>1107</v>
      </c>
      <c r="F158" t="s">
        <v>1688</v>
      </c>
    </row>
    <row r="159" spans="1:43" x14ac:dyDescent="0.25">
      <c r="A159" t="s">
        <v>330</v>
      </c>
      <c r="B159"/>
      <c r="C159"/>
      <c r="D159">
        <f t="shared" si="102"/>
        <v>147</v>
      </c>
      <c r="E159" s="5" t="s">
        <v>1064</v>
      </c>
      <c r="F159" t="s">
        <v>1065</v>
      </c>
      <c r="G159" s="7">
        <v>21.99</v>
      </c>
      <c r="H159" s="6">
        <f>+G159*L159</f>
        <v>2468.8321872299998</v>
      </c>
      <c r="I159" s="6">
        <f>[96]Main!$I$5-[96]Main!$I$6</f>
        <v>748.42</v>
      </c>
      <c r="J159" s="6">
        <f>+H159-I159</f>
        <v>1720.4121872299997</v>
      </c>
      <c r="K159" s="3" t="s">
        <v>1839</v>
      </c>
      <c r="L159" s="6">
        <f>[96]Main!$I$3</f>
        <v>112.27067700000001</v>
      </c>
      <c r="M159" s="9">
        <v>45824</v>
      </c>
    </row>
    <row r="160" spans="1:43" x14ac:dyDescent="0.25">
      <c r="A160" t="s">
        <v>330</v>
      </c>
      <c r="B160"/>
      <c r="C160"/>
      <c r="D160">
        <f t="shared" si="102"/>
        <v>148</v>
      </c>
      <c r="E160" t="s">
        <v>702</v>
      </c>
      <c r="F160" t="s">
        <v>703</v>
      </c>
      <c r="G160" s="3">
        <v>21.72</v>
      </c>
      <c r="H160" s="6"/>
    </row>
    <row r="161" spans="1:13" x14ac:dyDescent="0.25">
      <c r="A161" t="s">
        <v>330</v>
      </c>
      <c r="B161"/>
      <c r="C161"/>
      <c r="D161">
        <f t="shared" si="102"/>
        <v>149</v>
      </c>
      <c r="E161" t="s">
        <v>749</v>
      </c>
      <c r="F161" t="s">
        <v>750</v>
      </c>
      <c r="G161" s="7">
        <v>14.14</v>
      </c>
      <c r="H161" s="3">
        <v>270</v>
      </c>
    </row>
    <row r="162" spans="1:13" x14ac:dyDescent="0.25">
      <c r="A162" s="1" t="s">
        <v>330</v>
      </c>
      <c r="B162" s="1">
        <v>1</v>
      </c>
      <c r="C162" s="1">
        <v>1</v>
      </c>
      <c r="D162">
        <f t="shared" si="102"/>
        <v>150</v>
      </c>
      <c r="E162" s="5" t="s">
        <v>737</v>
      </c>
      <c r="F162" t="s">
        <v>738</v>
      </c>
      <c r="G162" s="7">
        <v>28</v>
      </c>
      <c r="H162" s="6">
        <f>+G162*L162</f>
        <v>2454.0039999999999</v>
      </c>
      <c r="I162" s="6">
        <f>+[97]Main!$L$5-[97]Main!$L$6</f>
        <v>991.86899999999991</v>
      </c>
      <c r="J162" s="6">
        <f>+H162-I162</f>
        <v>1462.135</v>
      </c>
      <c r="K162" s="3" t="s">
        <v>1990</v>
      </c>
      <c r="L162" s="6">
        <f>+[97]Main!$L$3</f>
        <v>87.643000000000001</v>
      </c>
      <c r="M162" s="9">
        <v>45945</v>
      </c>
    </row>
    <row r="163" spans="1:13" x14ac:dyDescent="0.25">
      <c r="A163" t="s">
        <v>330</v>
      </c>
      <c r="D163">
        <f t="shared" si="102"/>
        <v>151</v>
      </c>
      <c r="E163" t="s">
        <v>2134</v>
      </c>
      <c r="F163" t="s">
        <v>2135</v>
      </c>
      <c r="G163" s="7"/>
      <c r="H163" s="6"/>
      <c r="I163" s="6"/>
      <c r="J163" s="6"/>
      <c r="L163" s="6"/>
      <c r="M163" s="9"/>
    </row>
    <row r="164" spans="1:13" x14ac:dyDescent="0.25">
      <c r="A164" t="s">
        <v>330</v>
      </c>
      <c r="D164">
        <f t="shared" si="102"/>
        <v>152</v>
      </c>
      <c r="E164" t="s">
        <v>2138</v>
      </c>
      <c r="F164" t="s">
        <v>2139</v>
      </c>
      <c r="G164" s="7"/>
      <c r="H164" s="6"/>
      <c r="I164" s="6"/>
      <c r="J164" s="6"/>
      <c r="L164" s="6"/>
      <c r="M164" s="9"/>
    </row>
    <row r="165" spans="1:13" x14ac:dyDescent="0.25">
      <c r="A165" t="s">
        <v>330</v>
      </c>
      <c r="D165">
        <f t="shared" si="102"/>
        <v>153</v>
      </c>
      <c r="E165" t="s">
        <v>2140</v>
      </c>
      <c r="F165" t="s">
        <v>2141</v>
      </c>
      <c r="G165" s="7"/>
      <c r="H165" s="6"/>
      <c r="I165" s="6"/>
      <c r="J165" s="6"/>
      <c r="L165" s="6"/>
      <c r="M165" s="9"/>
    </row>
    <row r="166" spans="1:13" x14ac:dyDescent="0.25">
      <c r="A166" t="s">
        <v>330</v>
      </c>
      <c r="D166">
        <f t="shared" si="102"/>
        <v>154</v>
      </c>
      <c r="E166" t="s">
        <v>2142</v>
      </c>
      <c r="F166" t="s">
        <v>2143</v>
      </c>
      <c r="G166" s="7"/>
      <c r="H166" s="6"/>
      <c r="I166" s="6"/>
      <c r="J166" s="6"/>
      <c r="L166" s="6"/>
      <c r="M166" s="9"/>
    </row>
    <row r="167" spans="1:13" x14ac:dyDescent="0.25">
      <c r="A167" t="s">
        <v>330</v>
      </c>
      <c r="D167">
        <f t="shared" si="102"/>
        <v>155</v>
      </c>
      <c r="E167" t="s">
        <v>2150</v>
      </c>
      <c r="F167" t="s">
        <v>2151</v>
      </c>
      <c r="G167" s="7"/>
      <c r="H167" s="6"/>
      <c r="I167" s="6"/>
      <c r="J167" s="6"/>
      <c r="L167" s="6"/>
      <c r="M167" s="9"/>
    </row>
    <row r="168" spans="1:13" x14ac:dyDescent="0.25">
      <c r="A168" t="s">
        <v>330</v>
      </c>
      <c r="B168"/>
      <c r="C168"/>
      <c r="D168">
        <f t="shared" si="102"/>
        <v>156</v>
      </c>
      <c r="E168" s="5" t="s">
        <v>1840</v>
      </c>
      <c r="F168" t="s">
        <v>1841</v>
      </c>
      <c r="G168" s="3">
        <v>15.26</v>
      </c>
      <c r="H168" s="6">
        <v>1700</v>
      </c>
    </row>
    <row r="169" spans="1:13" x14ac:dyDescent="0.25">
      <c r="A169" t="s">
        <v>330</v>
      </c>
      <c r="B169"/>
      <c r="C169"/>
      <c r="D169">
        <f t="shared" si="102"/>
        <v>157</v>
      </c>
      <c r="E169" t="s">
        <v>2162</v>
      </c>
      <c r="F169" t="s">
        <v>2163</v>
      </c>
      <c r="H169" s="6"/>
    </row>
    <row r="170" spans="1:13" x14ac:dyDescent="0.25">
      <c r="A170" t="s">
        <v>330</v>
      </c>
      <c r="B170"/>
      <c r="C170"/>
      <c r="D170">
        <f t="shared" si="102"/>
        <v>158</v>
      </c>
      <c r="E170" t="s">
        <v>2168</v>
      </c>
      <c r="F170" t="s">
        <v>2169</v>
      </c>
      <c r="H170" s="6"/>
    </row>
    <row r="171" spans="1:13" x14ac:dyDescent="0.25">
      <c r="D171">
        <f t="shared" si="102"/>
        <v>159</v>
      </c>
      <c r="E171" t="s">
        <v>1670</v>
      </c>
      <c r="F171" t="s">
        <v>1671</v>
      </c>
      <c r="G171" s="3">
        <v>12.46</v>
      </c>
    </row>
    <row r="172" spans="1:13" x14ac:dyDescent="0.25">
      <c r="A172" s="1" t="s">
        <v>330</v>
      </c>
      <c r="D172">
        <f t="shared" ref="D172:D204" si="103">+D171+1</f>
        <v>160</v>
      </c>
      <c r="E172" t="s">
        <v>2198</v>
      </c>
      <c r="F172"/>
    </row>
    <row r="173" spans="1:13" x14ac:dyDescent="0.25">
      <c r="A173" t="s">
        <v>330</v>
      </c>
      <c r="B173"/>
      <c r="C173"/>
      <c r="D173">
        <f t="shared" si="103"/>
        <v>161</v>
      </c>
      <c r="E173" t="s">
        <v>1116</v>
      </c>
      <c r="F173" t="s">
        <v>1117</v>
      </c>
      <c r="G173" s="7">
        <v>115</v>
      </c>
      <c r="H173" s="6"/>
    </row>
    <row r="174" spans="1:13" x14ac:dyDescent="0.25">
      <c r="A174" t="s">
        <v>330</v>
      </c>
      <c r="B174"/>
      <c r="C174"/>
      <c r="D174">
        <f t="shared" si="103"/>
        <v>162</v>
      </c>
      <c r="E174" t="s">
        <v>2174</v>
      </c>
      <c r="F174" t="s">
        <v>2175</v>
      </c>
      <c r="G174" s="7"/>
      <c r="H174" s="6"/>
    </row>
    <row r="175" spans="1:13" x14ac:dyDescent="0.25">
      <c r="A175" t="s">
        <v>330</v>
      </c>
      <c r="B175"/>
      <c r="C175"/>
      <c r="D175">
        <f t="shared" si="103"/>
        <v>163</v>
      </c>
      <c r="E175" t="s">
        <v>776</v>
      </c>
      <c r="F175" t="s">
        <v>777</v>
      </c>
      <c r="G175" s="54">
        <v>333.9</v>
      </c>
      <c r="H175" s="6"/>
    </row>
    <row r="176" spans="1:13" x14ac:dyDescent="0.25">
      <c r="A176" t="s">
        <v>330</v>
      </c>
      <c r="B176"/>
      <c r="C176"/>
      <c r="D176">
        <f t="shared" si="103"/>
        <v>164</v>
      </c>
      <c r="E176" t="s">
        <v>1813</v>
      </c>
      <c r="F176" t="s">
        <v>1814</v>
      </c>
      <c r="G176" s="3">
        <v>12.17</v>
      </c>
      <c r="H176" s="6"/>
    </row>
    <row r="177" spans="1:43" customFormat="1" x14ac:dyDescent="0.25">
      <c r="A177" t="s">
        <v>330</v>
      </c>
      <c r="D177">
        <f t="shared" si="103"/>
        <v>165</v>
      </c>
      <c r="E177" s="5" t="s">
        <v>659</v>
      </c>
      <c r="F177" t="s">
        <v>660</v>
      </c>
      <c r="G177" s="52">
        <v>16.66</v>
      </c>
      <c r="H177" s="29">
        <f>+G177*L177</f>
        <v>952.89402875333337</v>
      </c>
      <c r="I177" s="29">
        <f>+[98]Main!$N$5-[98]Main!$N$6</f>
        <v>927.11899999999991</v>
      </c>
      <c r="J177" s="29">
        <f>+H177-I177</f>
        <v>25.775028753333459</v>
      </c>
      <c r="K177" s="27" t="s">
        <v>1066</v>
      </c>
      <c r="L177" s="29">
        <f>+[98]Main!$N$3</f>
        <v>57.196520333333332</v>
      </c>
      <c r="M177" s="36">
        <v>45572</v>
      </c>
      <c r="N177" s="27"/>
      <c r="O177" s="27"/>
      <c r="P177" s="27"/>
      <c r="Q177" s="27"/>
      <c r="R177" s="27"/>
      <c r="S177" s="56"/>
      <c r="T177" s="56"/>
      <c r="U177" s="56"/>
      <c r="V177" s="56"/>
      <c r="W177" s="118"/>
      <c r="X177" s="56"/>
      <c r="Y177" s="56"/>
      <c r="Z177" s="56"/>
      <c r="AA177" s="56"/>
      <c r="AB177" s="128"/>
      <c r="AC177" s="102"/>
      <c r="AD177" s="102"/>
      <c r="AE177" s="102"/>
      <c r="AF177" s="102"/>
      <c r="AG177" s="102"/>
      <c r="AH177" s="102"/>
      <c r="AI177" s="102"/>
      <c r="AJ177" s="102"/>
      <c r="AK177" s="102"/>
      <c r="AO177" s="27"/>
      <c r="AP177" s="27"/>
      <c r="AQ177" s="27"/>
    </row>
    <row r="178" spans="1:43" customFormat="1" x14ac:dyDescent="0.25">
      <c r="A178" t="s">
        <v>330</v>
      </c>
      <c r="D178">
        <f t="shared" si="103"/>
        <v>166</v>
      </c>
      <c r="E178" t="s">
        <v>2188</v>
      </c>
      <c r="F178" t="s">
        <v>2189</v>
      </c>
      <c r="G178" s="52"/>
      <c r="H178" s="29"/>
      <c r="I178" s="29"/>
      <c r="J178" s="29"/>
      <c r="K178" s="27"/>
      <c r="L178" s="29"/>
      <c r="M178" s="36"/>
      <c r="N178" s="27"/>
      <c r="O178" s="27"/>
      <c r="P178" s="27"/>
      <c r="Q178" s="27"/>
      <c r="R178" s="27"/>
      <c r="S178" s="56"/>
      <c r="T178" s="56"/>
      <c r="U178" s="56"/>
      <c r="V178" s="56"/>
      <c r="W178" s="118"/>
      <c r="X178" s="56"/>
      <c r="Y178" s="56"/>
      <c r="Z178" s="56"/>
      <c r="AA178" s="56"/>
      <c r="AB178" s="128"/>
      <c r="AC178" s="102"/>
      <c r="AD178" s="102"/>
      <c r="AE178" s="102"/>
      <c r="AF178" s="102"/>
      <c r="AG178" s="102"/>
      <c r="AH178" s="102"/>
      <c r="AI178" s="102"/>
      <c r="AJ178" s="102"/>
      <c r="AK178" s="102"/>
      <c r="AO178" s="27"/>
      <c r="AP178" s="27"/>
      <c r="AQ178" s="27"/>
    </row>
    <row r="179" spans="1:43" x14ac:dyDescent="0.25">
      <c r="A179" t="s">
        <v>330</v>
      </c>
      <c r="B179"/>
      <c r="C179"/>
      <c r="D179">
        <f t="shared" si="103"/>
        <v>167</v>
      </c>
      <c r="E179" s="5" t="s">
        <v>154</v>
      </c>
      <c r="F179" s="1" t="s">
        <v>155</v>
      </c>
      <c r="G179" s="7">
        <v>18.23</v>
      </c>
      <c r="H179" s="6">
        <f>+G179*L179</f>
        <v>1502.4367343700001</v>
      </c>
      <c r="I179" s="6">
        <f>+[99]Main!$K$5-[99]Main!$K$6</f>
        <v>1008.165</v>
      </c>
      <c r="J179" s="6">
        <f>+H179-I179</f>
        <v>494.2717343700001</v>
      </c>
      <c r="K179" s="3" t="s">
        <v>1066</v>
      </c>
      <c r="L179" s="6">
        <f>+[99]Main!$K$3</f>
        <v>82.415619000000007</v>
      </c>
      <c r="M179" s="9">
        <v>45565</v>
      </c>
    </row>
    <row r="180" spans="1:43" x14ac:dyDescent="0.25">
      <c r="A180" t="s">
        <v>330</v>
      </c>
      <c r="B180"/>
      <c r="C180"/>
      <c r="D180">
        <f t="shared" si="103"/>
        <v>168</v>
      </c>
      <c r="E180" t="s">
        <v>2190</v>
      </c>
      <c r="F180" t="s">
        <v>2191</v>
      </c>
      <c r="G180" s="7"/>
      <c r="H180" s="6"/>
      <c r="I180" s="6"/>
      <c r="J180" s="6"/>
      <c r="L180" s="6"/>
      <c r="M180" s="9"/>
    </row>
    <row r="181" spans="1:43" x14ac:dyDescent="0.25">
      <c r="A181" t="s">
        <v>330</v>
      </c>
      <c r="B181"/>
      <c r="C181"/>
      <c r="D181">
        <f t="shared" si="103"/>
        <v>169</v>
      </c>
      <c r="E181" t="s">
        <v>706</v>
      </c>
      <c r="F181" t="s">
        <v>707</v>
      </c>
      <c r="G181" s="3">
        <v>9.35</v>
      </c>
    </row>
    <row r="182" spans="1:43" x14ac:dyDescent="0.25">
      <c r="A182" t="s">
        <v>330</v>
      </c>
      <c r="D182">
        <f t="shared" si="103"/>
        <v>170</v>
      </c>
      <c r="E182" s="5" t="s">
        <v>419</v>
      </c>
      <c r="F182" t="s">
        <v>420</v>
      </c>
      <c r="G182" s="3">
        <v>17.02</v>
      </c>
      <c r="H182" s="6">
        <f>+G182*L182</f>
        <v>1348.2009539399999</v>
      </c>
      <c r="I182" s="6">
        <f>+[100]Main!$N$5-[100]Main!$N$6</f>
        <v>732.71699999999998</v>
      </c>
      <c r="J182" s="6">
        <f>+H182-I182</f>
        <v>615.48395393999988</v>
      </c>
      <c r="K182" s="3" t="s">
        <v>1272</v>
      </c>
      <c r="L182" s="6">
        <f>+[100]Main!$N$3</f>
        <v>79.212746999999993</v>
      </c>
      <c r="M182" s="9">
        <v>45636</v>
      </c>
    </row>
    <row r="183" spans="1:43" x14ac:dyDescent="0.25">
      <c r="A183" s="1" t="s">
        <v>330</v>
      </c>
      <c r="D183">
        <f t="shared" si="103"/>
        <v>171</v>
      </c>
      <c r="E183" s="5" t="s">
        <v>571</v>
      </c>
      <c r="F183" t="s">
        <v>572</v>
      </c>
      <c r="G183" s="3">
        <v>7.43</v>
      </c>
      <c r="H183" s="6">
        <f>+G183*L183</f>
        <v>539.35794331</v>
      </c>
      <c r="I183" s="6">
        <f>+[101]Main!$J$5-[101]Main!$J$6</f>
        <v>69.49499999999999</v>
      </c>
      <c r="J183" s="6">
        <f>+H183-I183</f>
        <v>469.86294330999999</v>
      </c>
      <c r="K183" s="3" t="s">
        <v>1066</v>
      </c>
      <c r="L183" s="6">
        <f>+[101]Main!$J$3</f>
        <v>72.591916999999995</v>
      </c>
      <c r="M183" s="9">
        <v>45548</v>
      </c>
    </row>
    <row r="184" spans="1:43" x14ac:dyDescent="0.25">
      <c r="A184" t="s">
        <v>330</v>
      </c>
      <c r="D184">
        <f t="shared" si="103"/>
        <v>172</v>
      </c>
      <c r="E184" t="s">
        <v>2201</v>
      </c>
      <c r="F184"/>
      <c r="H184" s="6"/>
      <c r="I184" s="6"/>
      <c r="J184" s="6"/>
      <c r="L184" s="6"/>
      <c r="M184" s="9"/>
    </row>
    <row r="185" spans="1:43" x14ac:dyDescent="0.25">
      <c r="A185" t="s">
        <v>330</v>
      </c>
      <c r="B185"/>
      <c r="C185"/>
      <c r="D185">
        <f t="shared" si="103"/>
        <v>173</v>
      </c>
      <c r="E185" s="5" t="s">
        <v>872</v>
      </c>
      <c r="F185" t="s">
        <v>873</v>
      </c>
      <c r="G185" s="7">
        <v>1.91</v>
      </c>
      <c r="H185" s="6">
        <f>+G185*L185</f>
        <v>569.12827719999996</v>
      </c>
      <c r="I185" s="6">
        <f>+[102]Main!$J$5-[102]Main!$J$6</f>
        <v>59.753</v>
      </c>
      <c r="J185" s="6">
        <f>+H185-I185</f>
        <v>509.37527719999997</v>
      </c>
      <c r="K185" s="3" t="s">
        <v>1990</v>
      </c>
      <c r="L185" s="6">
        <f>+[102]Main!$J$3</f>
        <v>297.97291999999999</v>
      </c>
      <c r="M185" s="9">
        <v>45882</v>
      </c>
    </row>
    <row r="186" spans="1:43" x14ac:dyDescent="0.25">
      <c r="A186" t="s">
        <v>330</v>
      </c>
      <c r="B186"/>
      <c r="C186"/>
      <c r="D186">
        <f t="shared" si="103"/>
        <v>174</v>
      </c>
      <c r="E186" s="5" t="s">
        <v>976</v>
      </c>
      <c r="F186" t="s">
        <v>977</v>
      </c>
      <c r="G186" s="7">
        <v>22.62</v>
      </c>
      <c r="H186" s="6">
        <f>+G186*L186</f>
        <v>280.64416546399997</v>
      </c>
      <c r="I186" s="6">
        <f>[103]Main!$I$5-[103]Main!$I$6</f>
        <v>220.65100000000001</v>
      </c>
      <c r="J186" s="6">
        <f>+H186-I186</f>
        <v>59.993165463999958</v>
      </c>
      <c r="K186" s="3" t="s">
        <v>1839</v>
      </c>
      <c r="L186" s="6">
        <f>+[103]Main!$I$3</f>
        <v>12.406903866666665</v>
      </c>
      <c r="M186" s="9">
        <v>45810</v>
      </c>
    </row>
    <row r="187" spans="1:43" x14ac:dyDescent="0.25">
      <c r="A187"/>
      <c r="B187"/>
      <c r="C187"/>
      <c r="D187">
        <f t="shared" si="103"/>
        <v>175</v>
      </c>
      <c r="E187" s="1" t="s">
        <v>150</v>
      </c>
      <c r="F187" s="1" t="s">
        <v>151</v>
      </c>
      <c r="G187" s="3">
        <v>39.39</v>
      </c>
      <c r="H187" s="6">
        <v>2880</v>
      </c>
    </row>
    <row r="188" spans="1:43" x14ac:dyDescent="0.25">
      <c r="A188" t="s">
        <v>330</v>
      </c>
      <c r="D188">
        <f t="shared" si="103"/>
        <v>176</v>
      </c>
      <c r="E188" s="5" t="s">
        <v>494</v>
      </c>
      <c r="F188" s="1" t="s">
        <v>495</v>
      </c>
      <c r="G188" s="7">
        <v>8.8000000000000007</v>
      </c>
      <c r="H188" s="6">
        <f>+G188*L188</f>
        <v>2357.7362160000002</v>
      </c>
      <c r="I188" s="6">
        <f>+[104]Main!$J$5-[104]Main!$J$6</f>
        <v>-984</v>
      </c>
      <c r="J188" s="6">
        <f t="shared" ref="J188:J193" si="104">+H188-I188</f>
        <v>3341.7362160000002</v>
      </c>
      <c r="K188" s="3" t="s">
        <v>1273</v>
      </c>
      <c r="L188" s="6">
        <f>+[104]Main!$J$3</f>
        <v>267.92457000000002</v>
      </c>
      <c r="M188" s="9">
        <v>45761</v>
      </c>
    </row>
    <row r="189" spans="1:43" x14ac:dyDescent="0.25">
      <c r="A189"/>
      <c r="B189"/>
      <c r="C189"/>
      <c r="D189">
        <f t="shared" si="103"/>
        <v>177</v>
      </c>
      <c r="E189" s="5" t="s">
        <v>160</v>
      </c>
      <c r="F189" s="1" t="s">
        <v>161</v>
      </c>
      <c r="G189" s="7">
        <v>6.93</v>
      </c>
      <c r="H189" s="6">
        <f>+G189*L189</f>
        <v>2055.37515183</v>
      </c>
      <c r="I189" s="6">
        <f>+[105]Main!$M$5-[105]Main!$M$6</f>
        <v>-128.87700000000001</v>
      </c>
      <c r="J189" s="6">
        <f t="shared" si="104"/>
        <v>2184.25215183</v>
      </c>
      <c r="K189" s="3" t="s">
        <v>1066</v>
      </c>
      <c r="L189" s="6">
        <f>+[105]Main!$M$3</f>
        <v>296.59093100000001</v>
      </c>
      <c r="M189" s="9">
        <v>45580</v>
      </c>
    </row>
    <row r="190" spans="1:43" x14ac:dyDescent="0.25">
      <c r="A190" t="s">
        <v>330</v>
      </c>
      <c r="B190"/>
      <c r="C190"/>
      <c r="D190">
        <f>+D189+1</f>
        <v>178</v>
      </c>
      <c r="E190" s="5" t="s">
        <v>152</v>
      </c>
      <c r="F190" s="1" t="s">
        <v>153</v>
      </c>
      <c r="G190" s="3">
        <v>9.91</v>
      </c>
      <c r="H190" s="6">
        <f>+G190*L190</f>
        <v>3038.5196280600003</v>
      </c>
      <c r="I190" s="6">
        <f>+[106]Main!$L$5-[106]Main!$L$6</f>
        <v>533.82600000000002</v>
      </c>
      <c r="J190" s="6">
        <f t="shared" si="104"/>
        <v>2504.6936280600003</v>
      </c>
      <c r="K190" s="3" t="s">
        <v>2079</v>
      </c>
      <c r="L190" s="6">
        <f>+[106]Main!$L$3</f>
        <v>306.61146600000001</v>
      </c>
      <c r="M190" s="9">
        <v>46244</v>
      </c>
    </row>
    <row r="191" spans="1:43" x14ac:dyDescent="0.25">
      <c r="A191" t="s">
        <v>330</v>
      </c>
      <c r="B191" s="1">
        <v>3</v>
      </c>
      <c r="C191" s="1">
        <v>4</v>
      </c>
      <c r="D191">
        <f>+D190+1</f>
        <v>179</v>
      </c>
      <c r="E191" s="5" t="s">
        <v>144</v>
      </c>
      <c r="F191" s="1" t="s">
        <v>145</v>
      </c>
      <c r="G191" s="7">
        <v>31</v>
      </c>
      <c r="H191" s="6">
        <f>+G191*L191</f>
        <v>3053.1659439999999</v>
      </c>
      <c r="I191" s="6">
        <f>+[107]Main!$L$5-[107]Main!$L$6</f>
        <v>-594</v>
      </c>
      <c r="J191" s="6">
        <f t="shared" si="104"/>
        <v>3647.1659439999999</v>
      </c>
      <c r="K191" s="3" t="s">
        <v>2007</v>
      </c>
      <c r="L191" s="6">
        <f>[107]Main!$L$3</f>
        <v>98.489223999999993</v>
      </c>
      <c r="M191" s="9">
        <v>46219</v>
      </c>
      <c r="N191" s="7">
        <f>+[107]Model!$BC$35</f>
        <v>57.422613549318861</v>
      </c>
      <c r="O191" s="10">
        <f>+N191/G191-1</f>
        <v>0.85234237255867296</v>
      </c>
      <c r="P191" s="10">
        <f>+[107]Model!$BC$31</f>
        <v>0.05</v>
      </c>
      <c r="Q191" s="10">
        <f>+[107]Model!$BC$32</f>
        <v>-0.05</v>
      </c>
      <c r="R191" s="10">
        <f>+[107]Model!$BC$33</f>
        <v>0.09</v>
      </c>
      <c r="AL191" s="1">
        <v>2010</v>
      </c>
    </row>
    <row r="192" spans="1:43" x14ac:dyDescent="0.25">
      <c r="A192" t="s">
        <v>330</v>
      </c>
      <c r="B192"/>
      <c r="C192"/>
      <c r="D192">
        <f t="shared" si="103"/>
        <v>180</v>
      </c>
      <c r="E192" s="5" t="s">
        <v>778</v>
      </c>
      <c r="F192" t="s">
        <v>779</v>
      </c>
      <c r="G192" s="7">
        <v>7.96</v>
      </c>
      <c r="H192" s="6">
        <f>G192*L192</f>
        <v>534.72149332000004</v>
      </c>
      <c r="I192" s="6">
        <f>[108]Main!$O$5-[108]Main!$O$6</f>
        <v>345.67399999999998</v>
      </c>
      <c r="J192" s="6">
        <f t="shared" si="104"/>
        <v>189.04749332000006</v>
      </c>
      <c r="K192" s="3" t="s">
        <v>645</v>
      </c>
      <c r="L192" s="6">
        <f>[108]Main!$O$3</f>
        <v>67.176067000000003</v>
      </c>
      <c r="M192" s="9">
        <v>45067</v>
      </c>
    </row>
    <row r="193" spans="1:38" x14ac:dyDescent="0.25">
      <c r="A193" t="s">
        <v>330</v>
      </c>
      <c r="B193"/>
      <c r="C193"/>
      <c r="D193">
        <f t="shared" si="103"/>
        <v>181</v>
      </c>
      <c r="E193" s="5" t="s">
        <v>289</v>
      </c>
      <c r="F193" s="1" t="s">
        <v>181</v>
      </c>
      <c r="G193" s="7">
        <v>10.23</v>
      </c>
      <c r="H193" s="6">
        <f>+G193*L193</f>
        <v>2111.2376102399999</v>
      </c>
      <c r="I193" s="6">
        <f>+[109]Main!$K$5-[109]Main!$K$6</f>
        <v>-48.48399999999998</v>
      </c>
      <c r="J193" s="6">
        <f t="shared" si="104"/>
        <v>2159.7216102399998</v>
      </c>
      <c r="K193" s="3" t="s">
        <v>1036</v>
      </c>
      <c r="L193" s="6">
        <f>+[109]Main!$K$3</f>
        <v>206.37708799999999</v>
      </c>
      <c r="M193" s="9">
        <v>45567</v>
      </c>
    </row>
    <row r="194" spans="1:38" x14ac:dyDescent="0.25">
      <c r="A194" t="s">
        <v>330</v>
      </c>
      <c r="B194"/>
      <c r="C194"/>
      <c r="D194">
        <f t="shared" si="103"/>
        <v>182</v>
      </c>
      <c r="E194" s="5" t="s">
        <v>2192</v>
      </c>
      <c r="F194" t="s">
        <v>2193</v>
      </c>
      <c r="G194" s="7"/>
      <c r="H194" s="6"/>
      <c r="I194" s="6"/>
      <c r="J194" s="6"/>
      <c r="L194" s="6"/>
      <c r="M194" s="9"/>
    </row>
    <row r="195" spans="1:38" x14ac:dyDescent="0.25">
      <c r="A195" s="1" t="s">
        <v>330</v>
      </c>
      <c r="D195">
        <f t="shared" si="103"/>
        <v>183</v>
      </c>
      <c r="E195" t="s">
        <v>661</v>
      </c>
      <c r="F195" t="s">
        <v>662</v>
      </c>
      <c r="G195" s="3">
        <v>13.15</v>
      </c>
    </row>
    <row r="196" spans="1:38" x14ac:dyDescent="0.25">
      <c r="A196" t="s">
        <v>330</v>
      </c>
      <c r="B196"/>
      <c r="C196"/>
      <c r="D196">
        <f t="shared" si="103"/>
        <v>184</v>
      </c>
      <c r="E196" s="5" t="s">
        <v>1872</v>
      </c>
      <c r="F196" t="s">
        <v>1873</v>
      </c>
      <c r="G196" s="7">
        <v>41.33</v>
      </c>
      <c r="H196" s="6">
        <f>+G196*L196</f>
        <v>2966.7874223200001</v>
      </c>
      <c r="I196" s="6">
        <f>+[110]Main!$J$5-[110]Main!$J$6</f>
        <v>521.73099999999999</v>
      </c>
      <c r="J196" s="6">
        <f>+H196-I196</f>
        <v>2445.0564223199999</v>
      </c>
      <c r="K196" s="3" t="s">
        <v>2007</v>
      </c>
      <c r="L196" s="6">
        <f>+[110]Main!$J$3</f>
        <v>71.782904000000002</v>
      </c>
      <c r="M196" s="9">
        <v>46209</v>
      </c>
    </row>
    <row r="197" spans="1:38" x14ac:dyDescent="0.25">
      <c r="A197" t="s">
        <v>330</v>
      </c>
      <c r="B197"/>
      <c r="C197"/>
      <c r="D197">
        <f t="shared" si="103"/>
        <v>185</v>
      </c>
      <c r="E197" s="5" t="s">
        <v>158</v>
      </c>
      <c r="F197" s="1" t="s">
        <v>159</v>
      </c>
      <c r="G197" s="7">
        <v>5.88</v>
      </c>
      <c r="H197" s="6">
        <v>2230</v>
      </c>
    </row>
    <row r="198" spans="1:38" x14ac:dyDescent="0.25">
      <c r="A198" t="s">
        <v>330</v>
      </c>
      <c r="B198"/>
      <c r="C198"/>
      <c r="D198">
        <f t="shared" si="103"/>
        <v>186</v>
      </c>
      <c r="E198" s="1" t="s">
        <v>518</v>
      </c>
      <c r="F198" t="s">
        <v>120</v>
      </c>
      <c r="G198" s="3">
        <v>13.98</v>
      </c>
      <c r="H198" s="6"/>
    </row>
    <row r="199" spans="1:38" x14ac:dyDescent="0.25">
      <c r="A199" t="s">
        <v>330</v>
      </c>
      <c r="B199"/>
      <c r="C199"/>
      <c r="D199">
        <f t="shared" si="103"/>
        <v>187</v>
      </c>
      <c r="E199" s="5" t="s">
        <v>1153</v>
      </c>
      <c r="F199" t="s">
        <v>1154</v>
      </c>
      <c r="G199" s="7">
        <v>2.35</v>
      </c>
      <c r="H199" s="6">
        <f>+G199*L199</f>
        <v>585.72605314999998</v>
      </c>
      <c r="I199" s="6">
        <f>+[111]Main!$K$5-[111]Main!$K$6</f>
        <v>565.53499999999997</v>
      </c>
      <c r="J199" s="6">
        <f>+H199-I199</f>
        <v>20.191053150000016</v>
      </c>
      <c r="K199" s="3" t="s">
        <v>1066</v>
      </c>
      <c r="L199" s="6">
        <f>+[111]Main!$K$3</f>
        <v>249.24512899999999</v>
      </c>
      <c r="M199" s="9">
        <v>45505</v>
      </c>
      <c r="AL199" s="1">
        <v>2018</v>
      </c>
    </row>
    <row r="200" spans="1:38" x14ac:dyDescent="0.25">
      <c r="A200" t="s">
        <v>330</v>
      </c>
      <c r="D200">
        <f t="shared" si="103"/>
        <v>188</v>
      </c>
      <c r="E200" t="s">
        <v>1884</v>
      </c>
      <c r="F200" t="s">
        <v>1885</v>
      </c>
      <c r="G200" s="7">
        <v>50</v>
      </c>
    </row>
    <row r="201" spans="1:38" x14ac:dyDescent="0.25">
      <c r="A201" t="s">
        <v>330</v>
      </c>
      <c r="D201">
        <f t="shared" si="103"/>
        <v>189</v>
      </c>
      <c r="E201" t="s">
        <v>2203</v>
      </c>
      <c r="F201" t="s">
        <v>2204</v>
      </c>
      <c r="G201" s="7"/>
    </row>
    <row r="202" spans="1:38" x14ac:dyDescent="0.25">
      <c r="A202"/>
      <c r="D202">
        <f t="shared" si="103"/>
        <v>190</v>
      </c>
      <c r="E202" t="s">
        <v>2205</v>
      </c>
      <c r="F202"/>
      <c r="G202" s="7"/>
    </row>
    <row r="203" spans="1:38" ht="13" x14ac:dyDescent="0.3">
      <c r="A203"/>
      <c r="D203">
        <f t="shared" si="103"/>
        <v>191</v>
      </c>
      <c r="E203" s="41" t="s">
        <v>332</v>
      </c>
      <c r="F203" s="24" t="s">
        <v>333</v>
      </c>
      <c r="G203" s="45">
        <v>71.819999999999993</v>
      </c>
      <c r="H203" s="26">
        <f>+G203*L203</f>
        <v>3860.7328657799999</v>
      </c>
      <c r="I203" s="26">
        <f>+[112]Main!$K$5-[112]Main!$K$6</f>
        <v>649.44200000000001</v>
      </c>
      <c r="J203" s="26">
        <f t="shared" ref="J203:J210" si="105">+H203-I203</f>
        <v>3211.2908657799999</v>
      </c>
      <c r="K203" s="25" t="s">
        <v>1066</v>
      </c>
      <c r="L203" s="26">
        <f>+[112]Main!$K$3</f>
        <v>53.755679000000001</v>
      </c>
      <c r="M203" s="42">
        <v>45591</v>
      </c>
    </row>
    <row r="204" spans="1:38" x14ac:dyDescent="0.25">
      <c r="A204"/>
      <c r="D204">
        <f t="shared" si="103"/>
        <v>192</v>
      </c>
      <c r="E204" s="5" t="s">
        <v>785</v>
      </c>
      <c r="F204" t="s">
        <v>1169</v>
      </c>
      <c r="G204" s="7">
        <v>37.25</v>
      </c>
      <c r="H204" s="6">
        <f>+G204*L204</f>
        <v>4362.7720382500002</v>
      </c>
      <c r="I204" s="6">
        <f>+[113]Main!$L$5-[113]Main!$L$6</f>
        <v>1590.0459999999998</v>
      </c>
      <c r="J204" s="6">
        <f t="shared" si="105"/>
        <v>2772.7260382500003</v>
      </c>
      <c r="K204" s="3" t="s">
        <v>1066</v>
      </c>
      <c r="L204" s="6">
        <f>+[113]Main!$L$3</f>
        <v>117.121397</v>
      </c>
      <c r="M204" s="9">
        <v>45558</v>
      </c>
    </row>
    <row r="205" spans="1:38" x14ac:dyDescent="0.25">
      <c r="A205" t="s">
        <v>330</v>
      </c>
      <c r="D205">
        <f t="shared" ref="D205:D212" si="106">+D204+1</f>
        <v>193</v>
      </c>
      <c r="E205" s="5" t="s">
        <v>123</v>
      </c>
      <c r="F205" s="1" t="s">
        <v>124</v>
      </c>
      <c r="G205" s="7">
        <v>19.38</v>
      </c>
      <c r="H205" s="6">
        <f>+G205*L205</f>
        <v>2046.0671823599998</v>
      </c>
      <c r="I205" s="6">
        <f>+[114]Main!$L$5-[114]Main!$L$6</f>
        <v>-103.03700000000003</v>
      </c>
      <c r="J205" s="6">
        <f t="shared" si="105"/>
        <v>2149.1041823599999</v>
      </c>
      <c r="K205" s="3" t="s">
        <v>2007</v>
      </c>
      <c r="L205" s="6">
        <f>+[114]Main!$L$3</f>
        <v>105.576222</v>
      </c>
      <c r="M205" s="9">
        <v>46209</v>
      </c>
    </row>
    <row r="206" spans="1:38" x14ac:dyDescent="0.25">
      <c r="A206" t="s">
        <v>330</v>
      </c>
      <c r="B206"/>
      <c r="C206"/>
      <c r="D206">
        <f t="shared" si="106"/>
        <v>194</v>
      </c>
      <c r="E206" s="5" t="s">
        <v>200</v>
      </c>
      <c r="F206" s="1" t="s">
        <v>201</v>
      </c>
      <c r="G206" s="3">
        <v>21.39</v>
      </c>
      <c r="H206" s="6">
        <f>+G206*L206</f>
        <v>1041.1758325799999</v>
      </c>
      <c r="I206" s="6">
        <f>+[115]Main!$L$5-[115]Main!$L$6</f>
        <v>-356.94799999999998</v>
      </c>
      <c r="J206" s="6">
        <f t="shared" si="105"/>
        <v>1398.12383258</v>
      </c>
      <c r="K206" s="3" t="s">
        <v>1066</v>
      </c>
      <c r="L206" s="6">
        <f>+[115]Main!$L$3</f>
        <v>48.675821999999997</v>
      </c>
      <c r="M206" s="9">
        <v>45576</v>
      </c>
    </row>
    <row r="207" spans="1:38" x14ac:dyDescent="0.25">
      <c r="A207" t="s">
        <v>330</v>
      </c>
      <c r="B207"/>
      <c r="C207"/>
      <c r="D207">
        <f t="shared" si="106"/>
        <v>195</v>
      </c>
      <c r="E207" s="5" t="s">
        <v>83</v>
      </c>
      <c r="F207" s="1" t="s">
        <v>84</v>
      </c>
      <c r="G207" s="7">
        <v>8.9700000000000006</v>
      </c>
      <c r="H207" s="6">
        <f>+G207*L207</f>
        <v>948.92012709000005</v>
      </c>
      <c r="I207" s="6">
        <f>+[116]Main!$L$5-[116]Main!$L$6</f>
        <v>147.91000000000003</v>
      </c>
      <c r="J207" s="6">
        <f t="shared" si="105"/>
        <v>801.01012708999997</v>
      </c>
      <c r="K207" s="3" t="s">
        <v>1990</v>
      </c>
      <c r="L207" s="6">
        <f>+[116]Main!$L$3</f>
        <v>105.788197</v>
      </c>
      <c r="M207" s="9">
        <v>45960</v>
      </c>
    </row>
    <row r="208" spans="1:38" x14ac:dyDescent="0.25">
      <c r="A208"/>
      <c r="B208"/>
      <c r="C208"/>
      <c r="D208">
        <f t="shared" si="106"/>
        <v>196</v>
      </c>
      <c r="E208" s="5" t="s">
        <v>364</v>
      </c>
      <c r="F208" t="s">
        <v>365</v>
      </c>
      <c r="G208" s="40">
        <v>44550</v>
      </c>
      <c r="H208" s="6">
        <f>+G208*L208/KRW</f>
        <v>2388.4458129797626</v>
      </c>
      <c r="I208" s="6">
        <f>([117]Main!$L$5-[117]Main!$L$6)/KRW</f>
        <v>792.45638520586181</v>
      </c>
      <c r="J208" s="6">
        <f t="shared" si="105"/>
        <v>1595.9894277739008</v>
      </c>
      <c r="K208" s="3" t="s">
        <v>1066</v>
      </c>
      <c r="L208" s="6">
        <f>+[117]Main!$L$3</f>
        <v>76.826999999999998</v>
      </c>
      <c r="M208" s="9">
        <v>45542</v>
      </c>
    </row>
    <row r="209" spans="1:43" x14ac:dyDescent="0.25">
      <c r="A209" t="s">
        <v>330</v>
      </c>
      <c r="B209"/>
      <c r="C209"/>
      <c r="D209">
        <f t="shared" si="106"/>
        <v>197</v>
      </c>
      <c r="E209" s="5" t="s">
        <v>842</v>
      </c>
      <c r="F209" t="s">
        <v>843</v>
      </c>
      <c r="G209" s="7">
        <v>24.25</v>
      </c>
      <c r="H209" s="6">
        <f>+G209*L209</f>
        <v>1272.688985</v>
      </c>
      <c r="I209" s="6">
        <f>+[118]Main!$L$5-[118]Main!$L$6</f>
        <v>658</v>
      </c>
      <c r="J209" s="6">
        <f t="shared" si="105"/>
        <v>614.688985</v>
      </c>
      <c r="K209" s="3" t="s">
        <v>1272</v>
      </c>
      <c r="L209" s="6">
        <f>+[118]Main!$L$3</f>
        <v>52.482019999999999</v>
      </c>
      <c r="M209" s="9">
        <v>45628</v>
      </c>
      <c r="AL209" s="1">
        <v>2017</v>
      </c>
    </row>
    <row r="210" spans="1:43" x14ac:dyDescent="0.25">
      <c r="A210"/>
      <c r="D210">
        <f t="shared" si="106"/>
        <v>198</v>
      </c>
      <c r="E210" s="5" t="s">
        <v>800</v>
      </c>
      <c r="F210" t="s">
        <v>801</v>
      </c>
      <c r="G210" s="3">
        <v>19.86</v>
      </c>
      <c r="H210" s="6">
        <f>+G210*L210</f>
        <v>4859.03226318</v>
      </c>
      <c r="I210" s="6">
        <f>+[119]Main!$L$5-[119]Main!$L$6</f>
        <v>-11.042999999999999</v>
      </c>
      <c r="J210" s="6">
        <f t="shared" si="105"/>
        <v>4870.0752631799996</v>
      </c>
      <c r="K210" s="3" t="s">
        <v>1066</v>
      </c>
      <c r="L210" s="6">
        <f>+[119]Main!$L$3</f>
        <v>244.66426300000001</v>
      </c>
      <c r="M210" s="9">
        <v>45566</v>
      </c>
    </row>
    <row r="211" spans="1:43" x14ac:dyDescent="0.25">
      <c r="A211"/>
      <c r="B211"/>
      <c r="C211"/>
      <c r="D211">
        <f t="shared" si="106"/>
        <v>199</v>
      </c>
      <c r="E211" s="5" t="s">
        <v>202</v>
      </c>
      <c r="F211" s="1" t="s">
        <v>203</v>
      </c>
      <c r="G211" s="7">
        <v>5.8</v>
      </c>
      <c r="H211" s="6">
        <f>G211*L211</f>
        <v>1949.0086839999999</v>
      </c>
      <c r="I211" s="6">
        <f>[120]Main!$K$5-[120]Main!$K$6</f>
        <v>575.553</v>
      </c>
      <c r="J211" s="6">
        <f>H211-I211</f>
        <v>1373.455684</v>
      </c>
      <c r="K211" s="3" t="s">
        <v>1066</v>
      </c>
      <c r="L211" s="6">
        <f>[120]Main!$K$3</f>
        <v>336.03598</v>
      </c>
      <c r="M211" s="9">
        <v>45572</v>
      </c>
    </row>
    <row r="212" spans="1:43" s="24" customFormat="1" ht="13" x14ac:dyDescent="0.3">
      <c r="D212">
        <f t="shared" si="106"/>
        <v>200</v>
      </c>
      <c r="E212" s="41" t="s">
        <v>93</v>
      </c>
      <c r="F212" s="24" t="s">
        <v>94</v>
      </c>
      <c r="G212" s="25">
        <v>3.73</v>
      </c>
      <c r="H212" s="26">
        <f t="shared" ref="H212:H217" si="107">+G212*L212</f>
        <v>402.48143883</v>
      </c>
      <c r="I212" s="26">
        <f>+[121]Main!$K$5-[121]Main!$K$6</f>
        <v>271.49400000000003</v>
      </c>
      <c r="J212" s="26">
        <f t="shared" ref="J212:J217" si="108">+H212-I212</f>
        <v>130.98743882999997</v>
      </c>
      <c r="K212" s="25" t="s">
        <v>1066</v>
      </c>
      <c r="L212" s="26">
        <f>+[121]Main!$K$3</f>
        <v>107.903871</v>
      </c>
      <c r="M212" s="42">
        <v>45573</v>
      </c>
      <c r="N212" s="25"/>
      <c r="O212" s="25"/>
      <c r="P212" s="25"/>
      <c r="Q212" s="25"/>
      <c r="R212" s="25"/>
      <c r="S212" s="43"/>
      <c r="T212" s="43"/>
      <c r="U212" s="43"/>
      <c r="V212" s="43"/>
      <c r="W212" s="116"/>
      <c r="X212" s="43"/>
      <c r="Y212" s="43"/>
      <c r="Z212" s="43"/>
      <c r="AA212" s="43"/>
      <c r="AB212" s="126"/>
      <c r="AC212" s="101"/>
      <c r="AD212" s="101"/>
      <c r="AE212" s="101"/>
      <c r="AF212" s="101"/>
      <c r="AG212" s="101"/>
      <c r="AH212" s="101"/>
      <c r="AI212" s="101"/>
      <c r="AJ212" s="101"/>
      <c r="AK212" s="101"/>
      <c r="AO212" s="25"/>
      <c r="AP212" s="25"/>
      <c r="AQ212" s="25"/>
    </row>
    <row r="213" spans="1:43" x14ac:dyDescent="0.25">
      <c r="A213" t="s">
        <v>330</v>
      </c>
      <c r="D213">
        <f t="shared" ref="D213:D220" si="109">+D212+1</f>
        <v>201</v>
      </c>
      <c r="E213" s="5" t="s">
        <v>735</v>
      </c>
      <c r="F213" t="s">
        <v>736</v>
      </c>
      <c r="G213" s="3">
        <v>4.24</v>
      </c>
      <c r="H213" s="6">
        <f t="shared" si="107"/>
        <v>943.40000000000009</v>
      </c>
      <c r="I213" s="6">
        <f>+[122]Main!$I$5-[122]Main!$I$6</f>
        <v>251.643</v>
      </c>
      <c r="J213" s="6">
        <f t="shared" si="108"/>
        <v>691.75700000000006</v>
      </c>
      <c r="K213" s="3" t="s">
        <v>1066</v>
      </c>
      <c r="L213" s="6">
        <f>+[122]Main!$I$3</f>
        <v>222.5</v>
      </c>
      <c r="M213" s="9">
        <v>45593</v>
      </c>
    </row>
    <row r="214" spans="1:43" x14ac:dyDescent="0.25">
      <c r="A214" t="s">
        <v>330</v>
      </c>
      <c r="B214"/>
      <c r="C214"/>
      <c r="D214">
        <f t="shared" si="109"/>
        <v>202</v>
      </c>
      <c r="E214" s="5" t="s">
        <v>141</v>
      </c>
      <c r="F214" s="1" t="s">
        <v>142</v>
      </c>
      <c r="G214" s="7">
        <v>11.89</v>
      </c>
      <c r="H214" s="6">
        <f t="shared" si="107"/>
        <v>1147.0877499999999</v>
      </c>
      <c r="I214" s="6">
        <f>+[123]Main!$J$5-[123]Main!$J$6</f>
        <v>939.9</v>
      </c>
      <c r="J214" s="6">
        <f t="shared" si="108"/>
        <v>207.18774999999994</v>
      </c>
      <c r="K214" s="3" t="s">
        <v>1036</v>
      </c>
      <c r="L214" s="6">
        <f>+[123]Main!$J$3</f>
        <v>96.474999999999994</v>
      </c>
      <c r="M214" s="9">
        <v>45565</v>
      </c>
    </row>
    <row r="215" spans="1:43" x14ac:dyDescent="0.25">
      <c r="A215" t="s">
        <v>330</v>
      </c>
      <c r="D215">
        <f t="shared" si="109"/>
        <v>203</v>
      </c>
      <c r="E215" s="5" t="s">
        <v>210</v>
      </c>
      <c r="F215" s="1" t="s">
        <v>211</v>
      </c>
      <c r="G215" s="3">
        <v>2.81</v>
      </c>
      <c r="H215" s="6">
        <f t="shared" si="107"/>
        <v>852.87398031999999</v>
      </c>
      <c r="I215" s="6">
        <f>+[124]Main!$I$5-[124]Main!$I$6</f>
        <v>417.97200000000004</v>
      </c>
      <c r="J215" s="6">
        <f t="shared" si="108"/>
        <v>434.90198031999995</v>
      </c>
      <c r="K215" s="3" t="s">
        <v>1066</v>
      </c>
      <c r="L215" s="6">
        <f>+[124]Main!$I$3</f>
        <v>303.51387199999999</v>
      </c>
      <c r="M215" s="9">
        <v>45525</v>
      </c>
    </row>
    <row r="216" spans="1:43" x14ac:dyDescent="0.25">
      <c r="A216" t="s">
        <v>330</v>
      </c>
      <c r="D216">
        <f t="shared" si="109"/>
        <v>204</v>
      </c>
      <c r="E216" s="5" t="s">
        <v>106</v>
      </c>
      <c r="F216" s="1" t="s">
        <v>107</v>
      </c>
      <c r="G216" s="7">
        <v>8.06</v>
      </c>
      <c r="H216" s="6">
        <f t="shared" si="107"/>
        <v>498.37825180000004</v>
      </c>
      <c r="I216" s="6">
        <f>+[125]Main!$O$5-[125]Main!$O$6</f>
        <v>637.79299999999989</v>
      </c>
      <c r="J216" s="6">
        <f t="shared" si="108"/>
        <v>-139.41474819999985</v>
      </c>
      <c r="K216" s="3" t="s">
        <v>1066</v>
      </c>
      <c r="L216" s="6">
        <f>+[125]Main!$O$3</f>
        <v>61.833530000000003</v>
      </c>
      <c r="M216" s="9">
        <v>45563</v>
      </c>
    </row>
    <row r="217" spans="1:43" x14ac:dyDescent="0.25">
      <c r="A217" t="s">
        <v>330</v>
      </c>
      <c r="B217"/>
      <c r="C217"/>
      <c r="D217">
        <f t="shared" si="109"/>
        <v>205</v>
      </c>
      <c r="E217" s="5" t="s">
        <v>759</v>
      </c>
      <c r="F217" t="s">
        <v>760</v>
      </c>
      <c r="G217" s="7">
        <v>11.53</v>
      </c>
      <c r="H217" s="6">
        <f t="shared" si="107"/>
        <v>787.49899999999991</v>
      </c>
      <c r="I217" s="6">
        <f>+[126]Main!$K$5-[126]Main!$K$6</f>
        <v>185.58100000000002</v>
      </c>
      <c r="J217" s="6">
        <f t="shared" si="108"/>
        <v>601.91799999999989</v>
      </c>
      <c r="K217" s="3" t="s">
        <v>1066</v>
      </c>
      <c r="L217" s="6">
        <v>68.3</v>
      </c>
      <c r="M217" s="9">
        <v>45565</v>
      </c>
      <c r="AL217" s="1">
        <v>2015</v>
      </c>
    </row>
    <row r="218" spans="1:43" x14ac:dyDescent="0.25">
      <c r="A218" t="s">
        <v>330</v>
      </c>
      <c r="B218"/>
      <c r="C218"/>
      <c r="D218">
        <f>+D217+1</f>
        <v>206</v>
      </c>
      <c r="E218" s="1" t="s">
        <v>162</v>
      </c>
      <c r="F218" s="1" t="s">
        <v>163</v>
      </c>
      <c r="G218" s="7">
        <v>32.799999999999997</v>
      </c>
      <c r="H218" s="6">
        <v>3280</v>
      </c>
    </row>
    <row r="219" spans="1:43" x14ac:dyDescent="0.25">
      <c r="A219" t="s">
        <v>330</v>
      </c>
      <c r="B219"/>
      <c r="C219"/>
      <c r="D219">
        <f>+D218+1</f>
        <v>207</v>
      </c>
      <c r="E219" t="s">
        <v>712</v>
      </c>
      <c r="F219" t="s">
        <v>713</v>
      </c>
      <c r="G219" s="3">
        <v>1.23</v>
      </c>
      <c r="H219" s="6">
        <v>2400</v>
      </c>
    </row>
    <row r="220" spans="1:43" x14ac:dyDescent="0.25">
      <c r="A220"/>
      <c r="B220"/>
      <c r="C220"/>
      <c r="D220">
        <f t="shared" si="109"/>
        <v>208</v>
      </c>
      <c r="E220" s="1" t="s">
        <v>198</v>
      </c>
      <c r="F220" s="1" t="s">
        <v>199</v>
      </c>
      <c r="G220" s="7">
        <v>32.97</v>
      </c>
      <c r="H220" s="6">
        <v>2590</v>
      </c>
    </row>
    <row r="221" spans="1:43" x14ac:dyDescent="0.25">
      <c r="A221" t="s">
        <v>330</v>
      </c>
      <c r="B221"/>
      <c r="C221"/>
      <c r="D221">
        <f t="shared" ref="D221:D230" si="110">+D220+1</f>
        <v>209</v>
      </c>
      <c r="E221" s="1" t="s">
        <v>206</v>
      </c>
      <c r="F221" s="1" t="s">
        <v>207</v>
      </c>
      <c r="G221" s="7">
        <v>36.700000000000003</v>
      </c>
      <c r="H221" s="6">
        <v>1990</v>
      </c>
    </row>
    <row r="222" spans="1:43" x14ac:dyDescent="0.25">
      <c r="A222"/>
      <c r="D222">
        <f t="shared" si="110"/>
        <v>210</v>
      </c>
      <c r="E222" t="s">
        <v>2068</v>
      </c>
      <c r="F222" t="s">
        <v>2069</v>
      </c>
    </row>
    <row r="223" spans="1:43" x14ac:dyDescent="0.25">
      <c r="A223"/>
      <c r="D223">
        <f t="shared" si="110"/>
        <v>211</v>
      </c>
      <c r="E223" t="s">
        <v>2066</v>
      </c>
      <c r="F223" t="s">
        <v>2067</v>
      </c>
    </row>
    <row r="224" spans="1:43" x14ac:dyDescent="0.25">
      <c r="A224"/>
      <c r="B224"/>
      <c r="C224"/>
      <c r="D224">
        <f t="shared" si="110"/>
        <v>212</v>
      </c>
      <c r="E224" t="s">
        <v>593</v>
      </c>
      <c r="F224" t="s">
        <v>594</v>
      </c>
    </row>
    <row r="225" spans="1:13" x14ac:dyDescent="0.25">
      <c r="A225"/>
      <c r="B225"/>
      <c r="C225"/>
      <c r="D225">
        <f t="shared" si="110"/>
        <v>213</v>
      </c>
      <c r="E225" t="s">
        <v>678</v>
      </c>
      <c r="F225" t="s">
        <v>679</v>
      </c>
      <c r="G225" s="3">
        <v>7.18</v>
      </c>
    </row>
    <row r="226" spans="1:13" x14ac:dyDescent="0.25">
      <c r="A226" t="s">
        <v>330</v>
      </c>
      <c r="B226"/>
      <c r="C226"/>
      <c r="D226">
        <f t="shared" si="110"/>
        <v>214</v>
      </c>
      <c r="E226" s="5" t="s">
        <v>1886</v>
      </c>
      <c r="F226" t="s">
        <v>1887</v>
      </c>
      <c r="G226" s="3">
        <v>31.72</v>
      </c>
      <c r="H226" s="6">
        <f>+G226*L226</f>
        <v>1886.3883999999998</v>
      </c>
      <c r="I226" s="6">
        <f>+[127]Main!$I$5-[127]Main!$I$6</f>
        <v>383.46600000000001</v>
      </c>
      <c r="J226" s="6">
        <f>+H226-I226</f>
        <v>1502.9223999999999</v>
      </c>
      <c r="K226" s="3" t="s">
        <v>2007</v>
      </c>
      <c r="L226" s="6">
        <f>+[127]Main!$I$3</f>
        <v>59.47</v>
      </c>
      <c r="M226" s="9">
        <v>46230</v>
      </c>
    </row>
    <row r="227" spans="1:13" x14ac:dyDescent="0.25">
      <c r="A227" t="s">
        <v>330</v>
      </c>
      <c r="B227"/>
      <c r="C227"/>
      <c r="D227">
        <f t="shared" si="110"/>
        <v>215</v>
      </c>
      <c r="E227" s="5" t="s">
        <v>1811</v>
      </c>
      <c r="F227" t="s">
        <v>1812</v>
      </c>
      <c r="G227" s="7">
        <v>60</v>
      </c>
      <c r="H227" s="6">
        <f t="shared" ref="H227" si="111">+G227*L227</f>
        <v>2302.6306800000002</v>
      </c>
      <c r="I227" s="6">
        <f>+[128]Main!$J$5-[128]Main!$J$6</f>
        <v>219.55499999999998</v>
      </c>
      <c r="J227" s="6">
        <f t="shared" ref="J227:J229" si="112">+H227-I227</f>
        <v>2083.0756800000004</v>
      </c>
      <c r="K227" s="3" t="s">
        <v>1273</v>
      </c>
      <c r="L227" s="6">
        <f>+[128]Main!$J$3</f>
        <v>38.377178000000001</v>
      </c>
      <c r="M227" s="9">
        <v>45749</v>
      </c>
    </row>
    <row r="228" spans="1:13" x14ac:dyDescent="0.25">
      <c r="A228"/>
      <c r="B228"/>
      <c r="C228"/>
      <c r="D228">
        <f t="shared" si="110"/>
        <v>216</v>
      </c>
      <c r="E228" s="5" t="s">
        <v>508</v>
      </c>
      <c r="F228" t="s">
        <v>509</v>
      </c>
      <c r="G228" s="3">
        <v>5.94</v>
      </c>
      <c r="H228" s="6">
        <f>G228*L228</f>
        <v>328.40411472</v>
      </c>
      <c r="I228" s="6">
        <f>[129]Main!$L$5-[129]Main!$L$6</f>
        <v>578</v>
      </c>
      <c r="J228" s="6">
        <f t="shared" si="112"/>
        <v>-249.59588528</v>
      </c>
      <c r="K228" s="3" t="s">
        <v>645</v>
      </c>
      <c r="L228" s="6">
        <f>[129]Main!$L$3</f>
        <v>55.286887999999998</v>
      </c>
      <c r="M228" s="9">
        <v>45064</v>
      </c>
    </row>
    <row r="229" spans="1:13" x14ac:dyDescent="0.25">
      <c r="A229" t="s">
        <v>330</v>
      </c>
      <c r="B229">
        <v>4</v>
      </c>
      <c r="C229">
        <v>3</v>
      </c>
      <c r="D229">
        <f t="shared" si="110"/>
        <v>217</v>
      </c>
      <c r="E229" s="5" t="s">
        <v>179</v>
      </c>
      <c r="F229" s="1" t="s">
        <v>180</v>
      </c>
      <c r="G229" s="3">
        <v>7.68</v>
      </c>
      <c r="H229" s="6">
        <f>+G229*L229</f>
        <v>560.57387519999997</v>
      </c>
      <c r="I229" s="6">
        <f>+[130]Main!$O$5-[130]Main!$O$6</f>
        <v>953.8</v>
      </c>
      <c r="J229" s="6">
        <f t="shared" si="112"/>
        <v>-393.22612479999998</v>
      </c>
      <c r="K229" s="3" t="s">
        <v>1272</v>
      </c>
      <c r="L229" s="6">
        <f>+[130]Main!$O$3</f>
        <v>72.991389999999996</v>
      </c>
      <c r="M229" s="9">
        <v>45684</v>
      </c>
    </row>
    <row r="230" spans="1:13" x14ac:dyDescent="0.25">
      <c r="A230" s="1" t="s">
        <v>330</v>
      </c>
      <c r="B230"/>
      <c r="C230"/>
      <c r="D230">
        <f t="shared" si="110"/>
        <v>218</v>
      </c>
      <c r="E230" t="s">
        <v>746</v>
      </c>
      <c r="F230" t="s">
        <v>747</v>
      </c>
      <c r="G230" s="3">
        <v>3.96</v>
      </c>
      <c r="H230" s="6">
        <v>1800</v>
      </c>
    </row>
    <row r="231" spans="1:13" x14ac:dyDescent="0.25">
      <c r="A231"/>
      <c r="B231"/>
      <c r="C231"/>
      <c r="D231">
        <f>+D229+1</f>
        <v>218</v>
      </c>
      <c r="E231" s="5" t="s">
        <v>137</v>
      </c>
      <c r="F231" t="s">
        <v>1172</v>
      </c>
      <c r="G231" s="14">
        <v>6.81</v>
      </c>
      <c r="H231" s="6"/>
    </row>
    <row r="232" spans="1:13" x14ac:dyDescent="0.25">
      <c r="A232"/>
      <c r="B232"/>
      <c r="C232"/>
      <c r="D232">
        <f>+D231+1</f>
        <v>219</v>
      </c>
      <c r="E232" s="5" t="s">
        <v>137</v>
      </c>
      <c r="F232" t="s">
        <v>138</v>
      </c>
      <c r="G232" s="7">
        <v>3.85</v>
      </c>
      <c r="H232" s="6"/>
    </row>
    <row r="233" spans="1:13" x14ac:dyDescent="0.25">
      <c r="A233" t="s">
        <v>330</v>
      </c>
      <c r="B233"/>
      <c r="C233"/>
      <c r="D233">
        <f>+D232+1</f>
        <v>220</v>
      </c>
      <c r="E233" s="1" t="s">
        <v>780</v>
      </c>
      <c r="F233" s="1" t="s">
        <v>166</v>
      </c>
      <c r="G233" s="3">
        <v>22.66</v>
      </c>
      <c r="H233" s="6">
        <v>1770</v>
      </c>
    </row>
    <row r="234" spans="1:13" x14ac:dyDescent="0.25">
      <c r="A234"/>
      <c r="B234"/>
      <c r="C234"/>
      <c r="D234">
        <f t="shared" ref="D234:D236" si="113">+D233+1</f>
        <v>221</v>
      </c>
      <c r="E234" t="s">
        <v>373</v>
      </c>
      <c r="F234" t="s">
        <v>374</v>
      </c>
      <c r="G234" s="7">
        <v>44.34</v>
      </c>
    </row>
    <row r="235" spans="1:13" x14ac:dyDescent="0.25">
      <c r="A235" t="s">
        <v>330</v>
      </c>
      <c r="B235"/>
      <c r="C235"/>
      <c r="D235">
        <f t="shared" si="113"/>
        <v>222</v>
      </c>
      <c r="E235" t="s">
        <v>2195</v>
      </c>
      <c r="F235"/>
      <c r="G235" s="7"/>
    </row>
    <row r="236" spans="1:13" x14ac:dyDescent="0.25">
      <c r="A236" t="s">
        <v>330</v>
      </c>
      <c r="B236"/>
      <c r="C236"/>
      <c r="D236">
        <f t="shared" si="113"/>
        <v>223</v>
      </c>
      <c r="E236" t="s">
        <v>722</v>
      </c>
      <c r="F236" s="1" t="s">
        <v>1984</v>
      </c>
      <c r="G236" s="17">
        <v>114.35</v>
      </c>
      <c r="H236" s="6"/>
    </row>
    <row r="237" spans="1:13" ht="13" x14ac:dyDescent="0.3">
      <c r="A237" t="s">
        <v>330</v>
      </c>
      <c r="D237">
        <f>+D236+1</f>
        <v>224</v>
      </c>
      <c r="E237" s="24" t="s">
        <v>619</v>
      </c>
      <c r="F237" s="24" t="s">
        <v>620</v>
      </c>
      <c r="G237" s="25">
        <v>12.29</v>
      </c>
      <c r="H237" s="26"/>
    </row>
    <row r="238" spans="1:13" x14ac:dyDescent="0.25">
      <c r="A238"/>
      <c r="B238"/>
      <c r="C238"/>
      <c r="D238">
        <f t="shared" ref="D238:D243" si="114">+D237+1</f>
        <v>225</v>
      </c>
      <c r="E238" t="s">
        <v>761</v>
      </c>
      <c r="F238" t="s">
        <v>762</v>
      </c>
      <c r="G238" s="7">
        <v>5.16</v>
      </c>
      <c r="H238" s="6"/>
    </row>
    <row r="239" spans="1:13" x14ac:dyDescent="0.25">
      <c r="A239"/>
      <c r="D239">
        <f t="shared" si="114"/>
        <v>226</v>
      </c>
      <c r="E239" t="s">
        <v>1418</v>
      </c>
      <c r="F239" t="s">
        <v>1419</v>
      </c>
      <c r="G239" s="7">
        <v>1.58</v>
      </c>
    </row>
    <row r="240" spans="1:13" x14ac:dyDescent="0.25">
      <c r="A240"/>
      <c r="D240">
        <f>+D239+1</f>
        <v>227</v>
      </c>
      <c r="E240" s="5" t="s">
        <v>2059</v>
      </c>
      <c r="F240" t="s">
        <v>2058</v>
      </c>
      <c r="G240" s="7">
        <v>13.29</v>
      </c>
      <c r="H240" s="8">
        <f>+G240*L240</f>
        <v>478.68416387999997</v>
      </c>
      <c r="I240" s="6">
        <f>+[131]Main!$L$5-[131]Main!$L$6</f>
        <v>307.012</v>
      </c>
      <c r="J240" s="8">
        <f>+H240-I240</f>
        <v>171.67216387999997</v>
      </c>
      <c r="K240" s="3" t="s">
        <v>2007</v>
      </c>
      <c r="L240" s="6">
        <f>+[131]Main!$L$3</f>
        <v>36.018371999999999</v>
      </c>
      <c r="M240" s="9">
        <v>46202</v>
      </c>
    </row>
    <row r="241" spans="1:43" x14ac:dyDescent="0.25">
      <c r="A241"/>
      <c r="B241"/>
      <c r="C241"/>
      <c r="D241">
        <f>+D240+1</f>
        <v>228</v>
      </c>
      <c r="E241" s="1" t="s">
        <v>156</v>
      </c>
      <c r="F241" s="1" t="s">
        <v>157</v>
      </c>
      <c r="G241" s="7">
        <v>5.47</v>
      </c>
      <c r="H241" s="6">
        <v>1100</v>
      </c>
    </row>
    <row r="242" spans="1:43" x14ac:dyDescent="0.25">
      <c r="A242"/>
      <c r="B242"/>
      <c r="C242"/>
      <c r="D242">
        <f t="shared" si="114"/>
        <v>229</v>
      </c>
      <c r="E242" t="s">
        <v>773</v>
      </c>
      <c r="F242" t="s">
        <v>774</v>
      </c>
      <c r="G242" s="18">
        <v>20.46</v>
      </c>
      <c r="H242" s="6"/>
    </row>
    <row r="243" spans="1:43" x14ac:dyDescent="0.25">
      <c r="A243"/>
      <c r="B243"/>
      <c r="C243"/>
      <c r="D243">
        <f t="shared" si="114"/>
        <v>230</v>
      </c>
      <c r="E243" t="s">
        <v>434</v>
      </c>
      <c r="F243" t="s">
        <v>435</v>
      </c>
      <c r="G243" s="3">
        <v>8.2799999999999994</v>
      </c>
      <c r="H243" s="6">
        <v>1000</v>
      </c>
    </row>
    <row r="244" spans="1:43" x14ac:dyDescent="0.25">
      <c r="A244" t="s">
        <v>330</v>
      </c>
      <c r="B244"/>
      <c r="C244"/>
      <c r="D244">
        <f>+D243+1</f>
        <v>231</v>
      </c>
      <c r="E244" s="1" t="s">
        <v>104</v>
      </c>
      <c r="F244" s="1" t="s">
        <v>105</v>
      </c>
      <c r="G244" s="3">
        <v>5.07</v>
      </c>
    </row>
    <row r="245" spans="1:43" x14ac:dyDescent="0.25">
      <c r="A245"/>
      <c r="B245"/>
      <c r="C245"/>
      <c r="D245">
        <f>+D244+1</f>
        <v>232</v>
      </c>
      <c r="E245" t="s">
        <v>765</v>
      </c>
      <c r="F245" t="s">
        <v>766</v>
      </c>
      <c r="G245" s="3">
        <v>66.650000000000006</v>
      </c>
      <c r="H245" s="6"/>
    </row>
    <row r="246" spans="1:43" x14ac:dyDescent="0.25">
      <c r="A246"/>
      <c r="B246"/>
      <c r="C246"/>
      <c r="D246">
        <f>+D245+1</f>
        <v>233</v>
      </c>
      <c r="E246" s="1" t="s">
        <v>167</v>
      </c>
      <c r="F246" s="1" t="s">
        <v>168</v>
      </c>
      <c r="G246" s="7">
        <v>1.1000000000000001</v>
      </c>
      <c r="H246" s="6">
        <v>991</v>
      </c>
    </row>
    <row r="247" spans="1:43" x14ac:dyDescent="0.25">
      <c r="A247" t="s">
        <v>330</v>
      </c>
      <c r="B247"/>
      <c r="C247"/>
      <c r="D247">
        <f>+D246+1</f>
        <v>234</v>
      </c>
      <c r="E247" s="5" t="s">
        <v>2005</v>
      </c>
      <c r="F247" t="s">
        <v>2006</v>
      </c>
      <c r="G247" s="7">
        <v>15.38</v>
      </c>
      <c r="H247" s="6">
        <f>+G247*L247</f>
        <v>930.89184864000003</v>
      </c>
      <c r="I247" s="6">
        <f>+[132]Sheet1!$K$5-[132]Sheet1!$K$6</f>
        <v>439</v>
      </c>
      <c r="J247" s="6">
        <f>+H247-I247</f>
        <v>491.89184864000003</v>
      </c>
      <c r="K247" s="3" t="s">
        <v>2004</v>
      </c>
      <c r="L247" s="6">
        <f>+[132]Sheet1!$K$3</f>
        <v>60.526128</v>
      </c>
      <c r="M247" s="9">
        <v>46118</v>
      </c>
    </row>
    <row r="248" spans="1:43" x14ac:dyDescent="0.25">
      <c r="A248" t="s">
        <v>330</v>
      </c>
      <c r="B248"/>
      <c r="C248"/>
      <c r="D248">
        <f>+D246+1</f>
        <v>234</v>
      </c>
      <c r="E248" t="s">
        <v>716</v>
      </c>
      <c r="F248" t="s">
        <v>717</v>
      </c>
      <c r="G248" s="3">
        <v>4.28</v>
      </c>
      <c r="H248" s="6"/>
    </row>
    <row r="249" spans="1:43" x14ac:dyDescent="0.25">
      <c r="A249"/>
      <c r="B249"/>
      <c r="C249"/>
      <c r="D249">
        <f>+D248+1</f>
        <v>235</v>
      </c>
      <c r="E249" t="s">
        <v>714</v>
      </c>
      <c r="F249" t="s">
        <v>715</v>
      </c>
      <c r="H249" s="6"/>
    </row>
    <row r="250" spans="1:43" s="24" customFormat="1" ht="13" x14ac:dyDescent="0.3">
      <c r="D250">
        <f>+D249+1</f>
        <v>236</v>
      </c>
      <c r="E250" s="24" t="s">
        <v>1180</v>
      </c>
      <c r="F250" s="24" t="s">
        <v>1181</v>
      </c>
      <c r="G250" s="45">
        <v>105.36</v>
      </c>
      <c r="H250" s="26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43"/>
      <c r="T250" s="43"/>
      <c r="U250" s="43"/>
      <c r="V250" s="43"/>
      <c r="W250" s="116"/>
      <c r="X250" s="43"/>
      <c r="Y250" s="43"/>
      <c r="Z250" s="43"/>
      <c r="AA250" s="43"/>
      <c r="AB250" s="126"/>
      <c r="AC250" s="101"/>
      <c r="AD250" s="101"/>
      <c r="AE250" s="101"/>
      <c r="AF250" s="101"/>
      <c r="AG250" s="101"/>
      <c r="AH250" s="101"/>
      <c r="AI250" s="101"/>
      <c r="AJ250" s="101"/>
      <c r="AK250" s="101"/>
      <c r="AO250" s="25"/>
      <c r="AP250" s="25"/>
      <c r="AQ250" s="25"/>
    </row>
    <row r="251" spans="1:43" x14ac:dyDescent="0.25">
      <c r="A251" t="s">
        <v>330</v>
      </c>
      <c r="B251"/>
      <c r="C251"/>
      <c r="D251">
        <f>+D250+1</f>
        <v>237</v>
      </c>
      <c r="E251" t="s">
        <v>792</v>
      </c>
      <c r="F251" t="s">
        <v>793</v>
      </c>
      <c r="G251" s="3">
        <v>6.41</v>
      </c>
      <c r="H251" s="6"/>
    </row>
    <row r="252" spans="1:43" x14ac:dyDescent="0.25">
      <c r="A252"/>
      <c r="B252"/>
      <c r="C252"/>
      <c r="D252">
        <f>+D251+1</f>
        <v>238</v>
      </c>
      <c r="E252" t="s">
        <v>2216</v>
      </c>
      <c r="F252"/>
      <c r="H252" s="6"/>
    </row>
    <row r="253" spans="1:43" x14ac:dyDescent="0.25">
      <c r="A253"/>
      <c r="B253"/>
      <c r="C253"/>
      <c r="D253">
        <f>+D252+1</f>
        <v>239</v>
      </c>
      <c r="E253" t="s">
        <v>2217</v>
      </c>
      <c r="F253"/>
      <c r="H253" s="6"/>
    </row>
    <row r="254" spans="1:43" x14ac:dyDescent="0.25">
      <c r="A254" t="s">
        <v>330</v>
      </c>
      <c r="B254"/>
      <c r="C254"/>
      <c r="D254">
        <f>+D252+1</f>
        <v>239</v>
      </c>
      <c r="E254" t="s">
        <v>790</v>
      </c>
      <c r="F254" t="s">
        <v>791</v>
      </c>
      <c r="G254" s="3">
        <v>31.18</v>
      </c>
      <c r="H254" s="6"/>
    </row>
    <row r="255" spans="1:43" x14ac:dyDescent="0.25">
      <c r="A255"/>
      <c r="B255"/>
      <c r="C255"/>
      <c r="D255">
        <f t="shared" ref="D255:D288" si="115">+D254+1</f>
        <v>240</v>
      </c>
      <c r="E255" s="5" t="s">
        <v>2002</v>
      </c>
      <c r="F255" t="s">
        <v>2003</v>
      </c>
      <c r="G255" s="3">
        <v>1.1499999999999999</v>
      </c>
      <c r="H255" s="6">
        <f>+G255*L255</f>
        <v>149.31132869999999</v>
      </c>
      <c r="I255" s="6">
        <f>+[133]Main!$J$5-[133]Main!$J$6</f>
        <v>152.08600000000001</v>
      </c>
      <c r="J255" s="6">
        <f>+H255-I255</f>
        <v>-2.7746713000000227</v>
      </c>
      <c r="K255" s="3" t="s">
        <v>1998</v>
      </c>
      <c r="L255" s="6">
        <f>+[133]Main!$J$3</f>
        <v>129.835938</v>
      </c>
      <c r="M255" s="9">
        <v>46043</v>
      </c>
    </row>
    <row r="256" spans="1:43" x14ac:dyDescent="0.25">
      <c r="A256" t="s">
        <v>330</v>
      </c>
      <c r="B256"/>
      <c r="C256"/>
      <c r="D256">
        <f t="shared" si="115"/>
        <v>241</v>
      </c>
      <c r="E256" t="s">
        <v>2072</v>
      </c>
      <c r="F256" t="s">
        <v>2073</v>
      </c>
      <c r="H256" s="6"/>
    </row>
    <row r="257" spans="1:18" x14ac:dyDescent="0.25">
      <c r="A257"/>
      <c r="B257"/>
      <c r="C257"/>
      <c r="D257">
        <f t="shared" si="115"/>
        <v>242</v>
      </c>
      <c r="E257" t="s">
        <v>786</v>
      </c>
      <c r="F257" t="s">
        <v>787</v>
      </c>
      <c r="G257" s="3">
        <v>18.420000000000002</v>
      </c>
      <c r="H257" s="6"/>
    </row>
    <row r="258" spans="1:18" x14ac:dyDescent="0.25">
      <c r="A258"/>
      <c r="B258"/>
      <c r="C258"/>
      <c r="D258">
        <f t="shared" si="115"/>
        <v>243</v>
      </c>
      <c r="E258" t="s">
        <v>2074</v>
      </c>
      <c r="F258" t="s">
        <v>2075</v>
      </c>
      <c r="H258" s="6"/>
    </row>
    <row r="259" spans="1:18" x14ac:dyDescent="0.25">
      <c r="A259"/>
      <c r="B259"/>
      <c r="C259"/>
      <c r="D259">
        <f t="shared" si="115"/>
        <v>244</v>
      </c>
      <c r="E259" s="1" t="s">
        <v>190</v>
      </c>
      <c r="F259" s="1" t="s">
        <v>191</v>
      </c>
      <c r="G259" s="7">
        <v>1.33</v>
      </c>
      <c r="H259" s="6">
        <v>821</v>
      </c>
    </row>
    <row r="260" spans="1:18" x14ac:dyDescent="0.25">
      <c r="A260" t="s">
        <v>330</v>
      </c>
      <c r="B260"/>
      <c r="C260"/>
      <c r="D260">
        <f t="shared" si="115"/>
        <v>245</v>
      </c>
      <c r="E260" t="s">
        <v>300</v>
      </c>
      <c r="F260" t="s">
        <v>301</v>
      </c>
      <c r="G260" s="3">
        <v>4.09</v>
      </c>
      <c r="H260" s="6">
        <v>630</v>
      </c>
    </row>
    <row r="261" spans="1:18" x14ac:dyDescent="0.25">
      <c r="A261"/>
      <c r="B261"/>
      <c r="C261"/>
      <c r="D261">
        <f t="shared" si="115"/>
        <v>246</v>
      </c>
      <c r="E261" s="1" t="s">
        <v>196</v>
      </c>
      <c r="F261" s="1" t="s">
        <v>197</v>
      </c>
      <c r="G261" s="3">
        <v>11.44</v>
      </c>
      <c r="H261" s="6">
        <v>590</v>
      </c>
    </row>
    <row r="262" spans="1:18" x14ac:dyDescent="0.25">
      <c r="A262"/>
      <c r="B262"/>
      <c r="C262"/>
      <c r="D262">
        <f t="shared" si="115"/>
        <v>247</v>
      </c>
      <c r="E262" t="s">
        <v>287</v>
      </c>
      <c r="F262" t="s">
        <v>288</v>
      </c>
      <c r="G262" s="18">
        <v>67</v>
      </c>
      <c r="H262" s="6">
        <f>4406/HKD</f>
        <v>564.87179487179492</v>
      </c>
    </row>
    <row r="263" spans="1:18" x14ac:dyDescent="0.25">
      <c r="A263" t="s">
        <v>330</v>
      </c>
      <c r="B263"/>
      <c r="C263"/>
      <c r="D263">
        <f t="shared" si="115"/>
        <v>248</v>
      </c>
      <c r="E263" t="s">
        <v>1996</v>
      </c>
      <c r="F263" t="s">
        <v>1997</v>
      </c>
      <c r="G263" s="7">
        <v>8.0500000000000007</v>
      </c>
      <c r="H263" s="6"/>
      <c r="I263" s="6"/>
      <c r="J263" s="6"/>
      <c r="L263" s="6"/>
      <c r="M263" s="9"/>
    </row>
    <row r="264" spans="1:18" x14ac:dyDescent="0.25">
      <c r="A264"/>
      <c r="B264"/>
      <c r="C264"/>
      <c r="D264">
        <f t="shared" si="115"/>
        <v>249</v>
      </c>
      <c r="E264" s="1" t="s">
        <v>204</v>
      </c>
      <c r="F264" s="1" t="s">
        <v>205</v>
      </c>
      <c r="G264" s="3">
        <v>6.03</v>
      </c>
      <c r="H264" s="6">
        <v>548</v>
      </c>
    </row>
    <row r="265" spans="1:18" x14ac:dyDescent="0.25">
      <c r="A265"/>
      <c r="B265"/>
      <c r="C265"/>
      <c r="D265">
        <f t="shared" si="115"/>
        <v>250</v>
      </c>
      <c r="E265" s="5" t="s">
        <v>294</v>
      </c>
      <c r="F265" t="s">
        <v>295</v>
      </c>
      <c r="G265" s="7">
        <v>6.61</v>
      </c>
      <c r="H265" s="6">
        <f>+G265*[134]Main!$L$3</f>
        <v>479.66368586999999</v>
      </c>
      <c r="I265" s="6">
        <f>+[134]Main!$L$5-[134]Main!$L$6</f>
        <v>153.25991400000001</v>
      </c>
      <c r="J265" s="6">
        <f>+H265-I265</f>
        <v>326.40377187000001</v>
      </c>
      <c r="K265" s="3" t="s">
        <v>15</v>
      </c>
      <c r="M265" s="9">
        <v>44771</v>
      </c>
      <c r="N265" s="9"/>
      <c r="O265" s="9"/>
      <c r="P265" s="9"/>
      <c r="Q265" s="9"/>
      <c r="R265" s="9"/>
    </row>
    <row r="266" spans="1:18" x14ac:dyDescent="0.25">
      <c r="A266"/>
      <c r="B266"/>
      <c r="C266"/>
      <c r="D266">
        <f t="shared" si="115"/>
        <v>251</v>
      </c>
      <c r="E266" t="s">
        <v>1912</v>
      </c>
      <c r="F266" t="s">
        <v>1913</v>
      </c>
      <c r="G266" s="7">
        <v>12.29</v>
      </c>
      <c r="H266" s="6"/>
      <c r="I266" s="6"/>
      <c r="J266" s="6"/>
      <c r="L266" s="6"/>
      <c r="M266" s="9"/>
    </row>
    <row r="267" spans="1:18" x14ac:dyDescent="0.25">
      <c r="A267"/>
      <c r="B267"/>
      <c r="C267"/>
      <c r="D267">
        <f t="shared" si="115"/>
        <v>252</v>
      </c>
      <c r="E267" t="s">
        <v>1914</v>
      </c>
      <c r="F267" t="s">
        <v>1915</v>
      </c>
      <c r="G267" s="7">
        <v>7.38</v>
      </c>
      <c r="H267" s="6"/>
      <c r="I267" s="6"/>
      <c r="J267" s="6"/>
      <c r="L267" s="6"/>
      <c r="M267" s="9"/>
    </row>
    <row r="268" spans="1:18" x14ac:dyDescent="0.25">
      <c r="A268"/>
      <c r="B268"/>
      <c r="C268"/>
      <c r="D268">
        <f t="shared" si="115"/>
        <v>253</v>
      </c>
      <c r="E268" t="s">
        <v>1916</v>
      </c>
      <c r="F268" t="s">
        <v>1917</v>
      </c>
      <c r="G268" s="7">
        <v>6.63</v>
      </c>
      <c r="H268" s="6"/>
      <c r="I268" s="6"/>
      <c r="J268" s="6"/>
      <c r="L268" s="6"/>
      <c r="M268" s="9"/>
    </row>
    <row r="269" spans="1:18" x14ac:dyDescent="0.25">
      <c r="A269" t="s">
        <v>330</v>
      </c>
      <c r="B269"/>
      <c r="C269"/>
      <c r="D269">
        <f t="shared" si="115"/>
        <v>254</v>
      </c>
      <c r="E269" t="s">
        <v>1937</v>
      </c>
      <c r="F269" t="s">
        <v>1938</v>
      </c>
      <c r="G269" s="7">
        <v>5.94</v>
      </c>
      <c r="H269" s="6"/>
      <c r="I269" s="6"/>
      <c r="J269" s="6"/>
      <c r="L269" s="6"/>
      <c r="M269" s="9"/>
    </row>
    <row r="270" spans="1:18" x14ac:dyDescent="0.25">
      <c r="A270"/>
      <c r="B270"/>
      <c r="C270"/>
      <c r="D270">
        <f t="shared" si="115"/>
        <v>255</v>
      </c>
      <c r="E270" t="s">
        <v>1939</v>
      </c>
      <c r="F270" t="s">
        <v>1940</v>
      </c>
      <c r="G270" s="7">
        <v>2.52</v>
      </c>
      <c r="H270" s="6"/>
      <c r="I270" s="6"/>
      <c r="J270" s="6"/>
      <c r="L270" s="6"/>
      <c r="M270" s="9"/>
    </row>
    <row r="271" spans="1:18" x14ac:dyDescent="0.25">
      <c r="A271"/>
      <c r="B271"/>
      <c r="C271"/>
      <c r="D271">
        <f t="shared" si="115"/>
        <v>256</v>
      </c>
      <c r="E271" t="s">
        <v>1941</v>
      </c>
      <c r="F271" t="s">
        <v>1942</v>
      </c>
      <c r="G271" s="7">
        <v>4.0599999999999996</v>
      </c>
      <c r="H271" s="6"/>
      <c r="I271" s="6"/>
      <c r="J271" s="6"/>
      <c r="L271" s="6"/>
      <c r="M271" s="9"/>
    </row>
    <row r="272" spans="1:18" x14ac:dyDescent="0.25">
      <c r="A272"/>
      <c r="B272"/>
      <c r="C272"/>
      <c r="D272">
        <f t="shared" si="115"/>
        <v>257</v>
      </c>
      <c r="E272" t="s">
        <v>1943</v>
      </c>
      <c r="F272" t="s">
        <v>1944</v>
      </c>
      <c r="G272" s="7">
        <v>4.42</v>
      </c>
      <c r="H272" s="6"/>
      <c r="I272" s="6"/>
      <c r="J272" s="6"/>
      <c r="L272" s="6"/>
      <c r="M272" s="9"/>
    </row>
    <row r="273" spans="1:43" x14ac:dyDescent="0.25">
      <c r="A273"/>
      <c r="B273"/>
      <c r="C273"/>
      <c r="D273">
        <f t="shared" si="115"/>
        <v>258</v>
      </c>
      <c r="E273" t="s">
        <v>1945</v>
      </c>
      <c r="F273" t="s">
        <v>1946</v>
      </c>
      <c r="G273" s="7">
        <v>4.7699999999999996</v>
      </c>
      <c r="H273" s="6"/>
      <c r="I273" s="6"/>
      <c r="J273" s="6"/>
      <c r="L273" s="6"/>
      <c r="M273" s="9"/>
    </row>
    <row r="274" spans="1:43" x14ac:dyDescent="0.25">
      <c r="A274"/>
      <c r="D274">
        <f t="shared" si="115"/>
        <v>259</v>
      </c>
      <c r="E274" t="s">
        <v>1961</v>
      </c>
      <c r="F274" t="s">
        <v>1962</v>
      </c>
      <c r="G274" s="3">
        <v>3.07</v>
      </c>
      <c r="H274" s="6"/>
    </row>
    <row r="275" spans="1:43" x14ac:dyDescent="0.25">
      <c r="A275" t="s">
        <v>330</v>
      </c>
      <c r="D275">
        <f t="shared" si="115"/>
        <v>260</v>
      </c>
      <c r="E275" t="s">
        <v>2208</v>
      </c>
      <c r="F275"/>
      <c r="H275" s="6"/>
    </row>
    <row r="276" spans="1:43" x14ac:dyDescent="0.25">
      <c r="A276" t="s">
        <v>330</v>
      </c>
      <c r="D276">
        <f t="shared" si="115"/>
        <v>261</v>
      </c>
      <c r="E276" t="s">
        <v>2206</v>
      </c>
      <c r="F276" t="s">
        <v>2207</v>
      </c>
      <c r="H276" s="6"/>
    </row>
    <row r="277" spans="1:43" x14ac:dyDescent="0.25">
      <c r="A277" t="s">
        <v>330</v>
      </c>
      <c r="D277">
        <f t="shared" si="115"/>
        <v>262</v>
      </c>
      <c r="E277" t="s">
        <v>2197</v>
      </c>
      <c r="F277"/>
      <c r="H277" s="6"/>
    </row>
    <row r="278" spans="1:43" x14ac:dyDescent="0.25">
      <c r="A278"/>
      <c r="D278">
        <f t="shared" si="115"/>
        <v>263</v>
      </c>
      <c r="E278" t="s">
        <v>1960</v>
      </c>
      <c r="F278" t="s">
        <v>1959</v>
      </c>
      <c r="G278" s="3">
        <v>7.18</v>
      </c>
      <c r="H278" s="6"/>
    </row>
    <row r="279" spans="1:43" s="33" customFormat="1" ht="13" x14ac:dyDescent="0.3">
      <c r="D279" s="33">
        <f t="shared" si="115"/>
        <v>264</v>
      </c>
      <c r="E279" s="57" t="s">
        <v>751</v>
      </c>
      <c r="F279" s="33" t="s">
        <v>752</v>
      </c>
      <c r="G279" s="34">
        <v>6.82</v>
      </c>
      <c r="H279" s="35">
        <f>+G279*L279</f>
        <v>691.23428000000001</v>
      </c>
      <c r="I279" s="35">
        <f>+[135]Main!$K$5-[135]Main!$K$6</f>
        <v>531</v>
      </c>
      <c r="J279" s="35">
        <f>+H279-I279</f>
        <v>160.23428000000001</v>
      </c>
      <c r="K279" s="58" t="s">
        <v>1273</v>
      </c>
      <c r="L279" s="35">
        <f>+[135]Main!$K$3</f>
        <v>101.354</v>
      </c>
      <c r="M279" s="59">
        <v>45792</v>
      </c>
      <c r="N279" s="58"/>
      <c r="O279" s="58"/>
      <c r="P279" s="58"/>
      <c r="Q279" s="58"/>
      <c r="R279" s="58"/>
      <c r="S279" s="60"/>
      <c r="T279" s="60"/>
      <c r="U279" s="60"/>
      <c r="V279" s="60"/>
      <c r="W279" s="117"/>
      <c r="X279" s="60"/>
      <c r="Y279" s="60"/>
      <c r="Z279" s="60"/>
      <c r="AA279" s="60"/>
      <c r="AB279" s="127"/>
      <c r="AC279" s="106"/>
      <c r="AD279" s="106"/>
      <c r="AE279" s="106"/>
      <c r="AF279" s="106"/>
      <c r="AG279" s="106"/>
      <c r="AH279" s="106"/>
      <c r="AI279" s="106"/>
      <c r="AJ279" s="106"/>
      <c r="AK279" s="106"/>
      <c r="AO279" s="58"/>
      <c r="AP279" s="58"/>
      <c r="AQ279" s="58"/>
    </row>
    <row r="280" spans="1:43" x14ac:dyDescent="0.25">
      <c r="A280" t="s">
        <v>330</v>
      </c>
      <c r="B280"/>
      <c r="C280"/>
      <c r="D280">
        <f t="shared" si="115"/>
        <v>265</v>
      </c>
      <c r="E280" s="5" t="s">
        <v>1191</v>
      </c>
      <c r="F280" t="s">
        <v>1192</v>
      </c>
      <c r="G280" s="3">
        <v>4.2300000000000004</v>
      </c>
      <c r="H280" s="6">
        <f t="shared" ref="H280:H282" si="116">+G280*L280</f>
        <v>315.90431856000004</v>
      </c>
      <c r="I280" s="6">
        <f>+[136]Main!$K$5-[136]Main!$K$6</f>
        <v>77.219000000000008</v>
      </c>
      <c r="J280" s="6">
        <f t="shared" ref="J280:J282" si="117">+H280-I280</f>
        <v>238.68531856000004</v>
      </c>
      <c r="K280" s="3" t="s">
        <v>1066</v>
      </c>
      <c r="L280" s="6">
        <f>+[136]Main!$K$3</f>
        <v>74.681871999999998</v>
      </c>
      <c r="M280" s="9">
        <v>45569</v>
      </c>
      <c r="AL280" s="1">
        <v>2014</v>
      </c>
    </row>
    <row r="281" spans="1:43" x14ac:dyDescent="0.25">
      <c r="A281"/>
      <c r="B281"/>
      <c r="C281"/>
      <c r="D281">
        <f t="shared" si="115"/>
        <v>266</v>
      </c>
      <c r="E281" s="5" t="s">
        <v>1189</v>
      </c>
      <c r="F281" t="s">
        <v>1190</v>
      </c>
      <c r="G281" s="7">
        <v>2.14</v>
      </c>
      <c r="H281" s="6">
        <f t="shared" si="116"/>
        <v>484.12633426000002</v>
      </c>
      <c r="I281" s="6">
        <f>+[137]Main!$K$5-[137]Main!$K$6</f>
        <v>157.43700000000001</v>
      </c>
      <c r="J281" s="6">
        <f t="shared" si="117"/>
        <v>326.68933426000001</v>
      </c>
      <c r="K281" s="3" t="s">
        <v>1066</v>
      </c>
      <c r="L281" s="6">
        <f>+[137]Main!$K$3</f>
        <v>226.227259</v>
      </c>
      <c r="M281" s="9">
        <v>45569</v>
      </c>
    </row>
    <row r="282" spans="1:43" x14ac:dyDescent="0.25">
      <c r="A282" t="s">
        <v>330</v>
      </c>
      <c r="B282"/>
      <c r="C282"/>
      <c r="D282">
        <f t="shared" si="115"/>
        <v>267</v>
      </c>
      <c r="E282" s="5" t="s">
        <v>1176</v>
      </c>
      <c r="F282" t="s">
        <v>1177</v>
      </c>
      <c r="G282" s="7">
        <v>10</v>
      </c>
      <c r="H282" s="6">
        <f t="shared" si="116"/>
        <v>703.81979000000001</v>
      </c>
      <c r="I282" s="6">
        <f>+[138]Main!$L$5-[138]Main!$L$6</f>
        <v>10.994</v>
      </c>
      <c r="J282" s="6">
        <f t="shared" si="117"/>
        <v>692.82578999999998</v>
      </c>
      <c r="K282" s="3" t="s">
        <v>1066</v>
      </c>
      <c r="L282" s="6">
        <f>+[138]Main!$L$3</f>
        <v>70.381979000000001</v>
      </c>
      <c r="M282" s="9">
        <v>45562</v>
      </c>
    </row>
    <row r="283" spans="1:43" x14ac:dyDescent="0.25">
      <c r="A283" t="s">
        <v>330</v>
      </c>
      <c r="B283"/>
      <c r="C283"/>
      <c r="D283">
        <f t="shared" si="115"/>
        <v>268</v>
      </c>
      <c r="E283" s="5" t="s">
        <v>710</v>
      </c>
      <c r="F283" t="s">
        <v>711</v>
      </c>
      <c r="G283" s="7">
        <v>23</v>
      </c>
      <c r="H283" s="6">
        <f>+G283*L283</f>
        <v>1351.9859999999999</v>
      </c>
      <c r="I283" s="6">
        <f>+[139]Main!$J$5-[139]Main!$J$6</f>
        <v>1000</v>
      </c>
      <c r="J283" s="6">
        <f>+H283-I283</f>
        <v>351.98599999999988</v>
      </c>
      <c r="K283" s="3" t="s">
        <v>1998</v>
      </c>
      <c r="L283" s="6">
        <f>+[139]Main!$J$3</f>
        <v>58.781999999999996</v>
      </c>
      <c r="M283" s="9">
        <v>42327</v>
      </c>
    </row>
    <row r="284" spans="1:43" x14ac:dyDescent="0.25">
      <c r="A284"/>
      <c r="B284"/>
      <c r="C284"/>
      <c r="D284">
        <f t="shared" si="115"/>
        <v>269</v>
      </c>
      <c r="E284" s="5" t="s">
        <v>723</v>
      </c>
      <c r="F284" t="s">
        <v>724</v>
      </c>
      <c r="G284" s="7">
        <v>16.489999999999998</v>
      </c>
      <c r="H284" s="6">
        <f>+G284*L284</f>
        <v>667.96717440999998</v>
      </c>
      <c r="I284" s="6">
        <f>+[140]Main!$L$5-[140]Main!$L$6</f>
        <v>732.13299999999992</v>
      </c>
      <c r="J284" s="6">
        <f>+H284-I284</f>
        <v>-64.16582558999994</v>
      </c>
      <c r="K284" s="3" t="s">
        <v>1839</v>
      </c>
      <c r="L284" s="6">
        <f>+[140]Main!$L$3</f>
        <v>40.507409000000003</v>
      </c>
      <c r="M284" s="9">
        <v>45792</v>
      </c>
    </row>
    <row r="285" spans="1:43" s="24" customFormat="1" ht="13" x14ac:dyDescent="0.3">
      <c r="A285"/>
      <c r="D285">
        <f t="shared" si="115"/>
        <v>270</v>
      </c>
      <c r="E285" s="24" t="s">
        <v>298</v>
      </c>
      <c r="F285" s="24" t="s">
        <v>299</v>
      </c>
      <c r="G285" s="25">
        <v>3.63</v>
      </c>
      <c r="H285" s="26">
        <v>516</v>
      </c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43"/>
      <c r="T285" s="43"/>
      <c r="U285" s="43"/>
      <c r="V285" s="43"/>
      <c r="W285" s="116"/>
      <c r="X285" s="43"/>
      <c r="Y285" s="43"/>
      <c r="Z285" s="43"/>
      <c r="AA285" s="43"/>
      <c r="AB285" s="126"/>
      <c r="AC285" s="101"/>
      <c r="AD285" s="101"/>
      <c r="AE285" s="101"/>
      <c r="AF285" s="101"/>
      <c r="AG285" s="101"/>
      <c r="AH285" s="101"/>
      <c r="AI285" s="101"/>
      <c r="AJ285" s="101"/>
      <c r="AK285" s="101"/>
      <c r="AO285" s="25"/>
      <c r="AP285" s="25"/>
      <c r="AQ285" s="25"/>
    </row>
    <row r="286" spans="1:43" x14ac:dyDescent="0.25">
      <c r="A286"/>
      <c r="B286"/>
      <c r="C286"/>
      <c r="D286">
        <f t="shared" si="115"/>
        <v>271</v>
      </c>
      <c r="E286" s="1" t="s">
        <v>214</v>
      </c>
      <c r="F286" s="1" t="s">
        <v>215</v>
      </c>
      <c r="G286" s="3">
        <v>11.79</v>
      </c>
      <c r="H286" s="3">
        <v>547</v>
      </c>
    </row>
    <row r="287" spans="1:43" x14ac:dyDescent="0.25">
      <c r="A287"/>
      <c r="B287"/>
      <c r="C287"/>
      <c r="D287">
        <f t="shared" si="115"/>
        <v>272</v>
      </c>
      <c r="E287" s="1" t="s">
        <v>1890</v>
      </c>
      <c r="F287" t="s">
        <v>1891</v>
      </c>
      <c r="G287" s="3">
        <v>13.37</v>
      </c>
    </row>
    <row r="288" spans="1:43" x14ac:dyDescent="0.25">
      <c r="A288"/>
      <c r="B288"/>
      <c r="C288"/>
      <c r="D288">
        <f t="shared" si="115"/>
        <v>273</v>
      </c>
      <c r="E288" t="s">
        <v>757</v>
      </c>
      <c r="F288" t="s">
        <v>758</v>
      </c>
      <c r="G288" s="16">
        <v>3165</v>
      </c>
    </row>
    <row r="289" spans="1:38" x14ac:dyDescent="0.25">
      <c r="A289"/>
      <c r="B289"/>
      <c r="C289"/>
      <c r="D289">
        <f t="shared" ref="D289:D295" si="118">+D288+1</f>
        <v>274</v>
      </c>
      <c r="E289" t="s">
        <v>1859</v>
      </c>
      <c r="F289" t="s">
        <v>1860</v>
      </c>
      <c r="G289" s="40">
        <v>47850</v>
      </c>
    </row>
    <row r="290" spans="1:38" x14ac:dyDescent="0.25">
      <c r="A290"/>
      <c r="B290"/>
      <c r="C290"/>
      <c r="D290">
        <f t="shared" si="118"/>
        <v>275</v>
      </c>
      <c r="E290" t="s">
        <v>1167</v>
      </c>
      <c r="F290" t="s">
        <v>1168</v>
      </c>
      <c r="G290" s="7">
        <v>2.79</v>
      </c>
    </row>
    <row r="291" spans="1:38" x14ac:dyDescent="0.25">
      <c r="A291"/>
      <c r="B291"/>
      <c r="C291"/>
      <c r="D291">
        <f t="shared" si="118"/>
        <v>276</v>
      </c>
      <c r="E291" s="5" t="s">
        <v>1918</v>
      </c>
      <c r="F291" t="s">
        <v>1919</v>
      </c>
      <c r="G291" s="7">
        <v>2.0699999999999998</v>
      </c>
      <c r="H291" s="6">
        <f>+G291*L291</f>
        <v>19.419382079999998</v>
      </c>
      <c r="I291" s="6">
        <f>+[141]Main!$J$5-[141]Main!$J$6</f>
        <v>25</v>
      </c>
      <c r="J291" s="6">
        <f>+H291-I291</f>
        <v>-5.5806179200000017</v>
      </c>
      <c r="K291" s="3" t="s">
        <v>2007</v>
      </c>
      <c r="L291" s="6">
        <f>+[141]Main!$J$3</f>
        <v>9.3813440000000003</v>
      </c>
      <c r="M291" s="9">
        <v>46212</v>
      </c>
    </row>
    <row r="292" spans="1:38" x14ac:dyDescent="0.25">
      <c r="A292"/>
      <c r="B292"/>
      <c r="C292"/>
      <c r="D292">
        <f t="shared" si="118"/>
        <v>277</v>
      </c>
      <c r="E292" t="s">
        <v>1033</v>
      </c>
      <c r="F292" t="s">
        <v>1867</v>
      </c>
      <c r="G292" s="7">
        <v>34.65</v>
      </c>
    </row>
    <row r="293" spans="1:38" x14ac:dyDescent="0.25">
      <c r="A293" t="s">
        <v>330</v>
      </c>
      <c r="B293"/>
      <c r="C293"/>
      <c r="D293">
        <f t="shared" si="118"/>
        <v>278</v>
      </c>
      <c r="E293" s="1" t="s">
        <v>218</v>
      </c>
      <c r="F293" s="1" t="s">
        <v>219</v>
      </c>
      <c r="G293" s="7">
        <v>6.68</v>
      </c>
      <c r="H293" s="6">
        <v>508</v>
      </c>
    </row>
    <row r="294" spans="1:38" x14ac:dyDescent="0.25">
      <c r="A294"/>
      <c r="B294"/>
      <c r="C294"/>
      <c r="D294">
        <f t="shared" si="118"/>
        <v>279</v>
      </c>
      <c r="E294" s="1" t="s">
        <v>222</v>
      </c>
      <c r="F294" s="1" t="s">
        <v>223</v>
      </c>
      <c r="G294" s="3">
        <v>11.19</v>
      </c>
      <c r="H294" s="6">
        <v>1240</v>
      </c>
    </row>
    <row r="295" spans="1:38" x14ac:dyDescent="0.25">
      <c r="A295"/>
      <c r="B295"/>
      <c r="C295"/>
      <c r="D295">
        <f t="shared" si="118"/>
        <v>280</v>
      </c>
      <c r="E295" s="1" t="s">
        <v>224</v>
      </c>
      <c r="F295" s="1" t="s">
        <v>225</v>
      </c>
      <c r="G295" s="7">
        <v>1.68</v>
      </c>
      <c r="H295" s="3">
        <v>107</v>
      </c>
    </row>
    <row r="296" spans="1:38" x14ac:dyDescent="0.25">
      <c r="A296"/>
      <c r="B296"/>
      <c r="C296"/>
      <c r="D296">
        <f t="shared" ref="D296:D306" si="119">+D295+1</f>
        <v>281</v>
      </c>
      <c r="E296" s="1" t="s">
        <v>226</v>
      </c>
      <c r="F296" s="1" t="s">
        <v>227</v>
      </c>
      <c r="G296" s="3">
        <v>5.12</v>
      </c>
      <c r="H296" s="3">
        <v>457</v>
      </c>
    </row>
    <row r="297" spans="1:38" x14ac:dyDescent="0.25">
      <c r="A297"/>
      <c r="D297">
        <f t="shared" si="119"/>
        <v>282</v>
      </c>
      <c r="E297" s="5" t="s">
        <v>1422</v>
      </c>
      <c r="F297" t="s">
        <v>1423</v>
      </c>
      <c r="G297" s="7">
        <v>1.67</v>
      </c>
    </row>
    <row r="298" spans="1:38" x14ac:dyDescent="0.25">
      <c r="A298"/>
      <c r="B298"/>
      <c r="C298"/>
      <c r="D298">
        <f t="shared" si="119"/>
        <v>283</v>
      </c>
      <c r="E298" s="5" t="s">
        <v>816</v>
      </c>
      <c r="F298" t="s">
        <v>817</v>
      </c>
      <c r="G298" s="7">
        <v>89</v>
      </c>
      <c r="H298" s="6">
        <f>+G298*L298</f>
        <v>1930.300708</v>
      </c>
      <c r="I298" s="6">
        <f>+[142]Main!$L$5-[142]Main!$L$6</f>
        <v>-403.76499999999999</v>
      </c>
      <c r="J298" s="6">
        <f t="shared" ref="J298:J303" si="120">+H298-I298</f>
        <v>2334.0657080000001</v>
      </c>
      <c r="K298" s="3" t="s">
        <v>1990</v>
      </c>
      <c r="L298" s="6">
        <f>+[142]Main!$L$3</f>
        <v>21.688772</v>
      </c>
      <c r="M298" s="9">
        <v>45887</v>
      </c>
    </row>
    <row r="299" spans="1:38" x14ac:dyDescent="0.25">
      <c r="A299" t="s">
        <v>330</v>
      </c>
      <c r="D299">
        <f t="shared" si="119"/>
        <v>284</v>
      </c>
      <c r="E299" s="5" t="s">
        <v>549</v>
      </c>
      <c r="F299" t="s">
        <v>550</v>
      </c>
      <c r="G299" s="7">
        <v>20</v>
      </c>
      <c r="H299" s="6">
        <f>+L299*G299</f>
        <v>1715.0817200000001</v>
      </c>
      <c r="I299" s="6">
        <f>+[143]Main!$J$5-[143]Main!$J$6</f>
        <v>325.95999999999998</v>
      </c>
      <c r="J299" s="6">
        <f>+H299-I299</f>
        <v>1389.1217200000001</v>
      </c>
      <c r="K299" s="3" t="s">
        <v>1998</v>
      </c>
      <c r="L299" s="6">
        <f>+[143]Main!$J$3</f>
        <v>85.754086000000001</v>
      </c>
      <c r="M299" s="9">
        <v>45979</v>
      </c>
    </row>
    <row r="300" spans="1:38" x14ac:dyDescent="0.25">
      <c r="A300" t="s">
        <v>330</v>
      </c>
      <c r="D300">
        <f t="shared" si="119"/>
        <v>285</v>
      </c>
      <c r="E300" s="5" t="s">
        <v>555</v>
      </c>
      <c r="F300" t="s">
        <v>556</v>
      </c>
      <c r="G300" s="3">
        <v>4.21</v>
      </c>
      <c r="H300" s="6">
        <f>+G300*L300</f>
        <v>1153.2005603299999</v>
      </c>
      <c r="I300" s="6">
        <f>+[144]Main!$K$5-[144]Main!$K$6</f>
        <v>246.49199999999999</v>
      </c>
      <c r="J300" s="6">
        <f>+H300-I300</f>
        <v>906.70856032999995</v>
      </c>
      <c r="K300" s="3" t="s">
        <v>1998</v>
      </c>
      <c r="L300" s="6">
        <f>+[144]Main!$K$3</f>
        <v>273.91937300000001</v>
      </c>
      <c r="M300" s="9">
        <v>45979</v>
      </c>
    </row>
    <row r="301" spans="1:38" x14ac:dyDescent="0.25">
      <c r="A301" t="s">
        <v>330</v>
      </c>
      <c r="B301"/>
      <c r="C301"/>
      <c r="D301">
        <f t="shared" si="119"/>
        <v>286</v>
      </c>
      <c r="E301" s="5" t="s">
        <v>866</v>
      </c>
      <c r="F301" t="s">
        <v>867</v>
      </c>
      <c r="G301" s="7">
        <v>5.56</v>
      </c>
      <c r="H301" s="6">
        <f>+G301*L301</f>
        <v>855.90715059999991</v>
      </c>
      <c r="I301" s="6">
        <f>+[145]Main!$L$5-[145]Main!$L$6</f>
        <v>-160.48700000000002</v>
      </c>
      <c r="J301" s="6">
        <f t="shared" si="120"/>
        <v>1016.3941505999999</v>
      </c>
      <c r="K301" s="3" t="s">
        <v>1273</v>
      </c>
      <c r="L301" s="6">
        <f>+[145]Main!$L$3</f>
        <v>153.940135</v>
      </c>
      <c r="M301" s="9">
        <v>45743</v>
      </c>
    </row>
    <row r="302" spans="1:38" x14ac:dyDescent="0.25">
      <c r="A302"/>
      <c r="B302" s="1">
        <v>7</v>
      </c>
      <c r="C302" s="1">
        <v>4</v>
      </c>
      <c r="D302">
        <f t="shared" si="119"/>
        <v>287</v>
      </c>
      <c r="E302" s="5" t="s">
        <v>796</v>
      </c>
      <c r="F302" t="s">
        <v>1804</v>
      </c>
      <c r="G302" s="3">
        <v>12.13</v>
      </c>
      <c r="H302" s="6">
        <f>+G302*L302/10</f>
        <v>952.82484299999999</v>
      </c>
      <c r="I302" s="6">
        <f>+[146]Main!$M$5-[146]Main!$M$6</f>
        <v>87</v>
      </c>
      <c r="J302" s="6">
        <f t="shared" si="120"/>
        <v>865.82484299999999</v>
      </c>
      <c r="K302" s="3" t="s">
        <v>1272</v>
      </c>
      <c r="L302" s="6">
        <f>+[146]Main!$M$3</f>
        <v>785.51099999999997</v>
      </c>
      <c r="M302" s="9">
        <v>45749</v>
      </c>
    </row>
    <row r="303" spans="1:38" x14ac:dyDescent="0.25">
      <c r="A303"/>
      <c r="B303"/>
      <c r="C303"/>
      <c r="D303">
        <f t="shared" si="119"/>
        <v>288</v>
      </c>
      <c r="E303" s="5" t="s">
        <v>228</v>
      </c>
      <c r="F303" s="1" t="s">
        <v>229</v>
      </c>
      <c r="G303" s="3">
        <v>21.99</v>
      </c>
      <c r="H303" s="6">
        <v>725.62786605999997</v>
      </c>
      <c r="I303" s="6">
        <v>197.79600000000002</v>
      </c>
      <c r="J303" s="8">
        <f t="shared" si="120"/>
        <v>527.83186605999992</v>
      </c>
      <c r="K303" s="3" t="s">
        <v>15</v>
      </c>
    </row>
    <row r="304" spans="1:38" x14ac:dyDescent="0.25">
      <c r="A304"/>
      <c r="B304"/>
      <c r="C304"/>
      <c r="D304">
        <f t="shared" si="119"/>
        <v>289</v>
      </c>
      <c r="E304" s="5" t="s">
        <v>347</v>
      </c>
      <c r="F304" s="1" t="s">
        <v>348</v>
      </c>
      <c r="G304" s="7">
        <v>0.28000000000000003</v>
      </c>
      <c r="H304" s="6">
        <f t="shared" ref="H304:H309" si="121">+G304*L304</f>
        <v>227.00171872000001</v>
      </c>
      <c r="I304" s="6">
        <f>+[147]Main!$K$5-[147]Main!$K$6</f>
        <v>-37.984000000000002</v>
      </c>
      <c r="J304" s="8">
        <f t="shared" ref="J304" si="122">+H304-I304</f>
        <v>264.98571872000002</v>
      </c>
      <c r="K304" s="3" t="s">
        <v>297</v>
      </c>
      <c r="L304" s="6">
        <f>+[147]Main!$K$3</f>
        <v>810.72042399999998</v>
      </c>
      <c r="M304" s="9">
        <v>44816</v>
      </c>
      <c r="AL304" s="1">
        <v>2002</v>
      </c>
    </row>
    <row r="305" spans="1:38" x14ac:dyDescent="0.25">
      <c r="D305">
        <f t="shared" si="119"/>
        <v>290</v>
      </c>
      <c r="E305" s="5" t="s">
        <v>1301</v>
      </c>
      <c r="F305" t="s">
        <v>1182</v>
      </c>
      <c r="G305" s="7">
        <v>2.39</v>
      </c>
      <c r="H305" s="6">
        <f t="shared" si="121"/>
        <v>305.54221270000005</v>
      </c>
      <c r="I305" s="6">
        <f>+[148]Main!$J$5-[148]Main!$J$6</f>
        <v>115.78</v>
      </c>
      <c r="J305" s="8">
        <f t="shared" ref="J305" si="123">+H305-I305</f>
        <v>189.76221270000005</v>
      </c>
      <c r="K305" s="3" t="s">
        <v>1066</v>
      </c>
      <c r="L305" s="6">
        <f>+[148]Main!$J$3</f>
        <v>127.84193</v>
      </c>
    </row>
    <row r="306" spans="1:38" x14ac:dyDescent="0.25">
      <c r="A306"/>
      <c r="D306">
        <f t="shared" si="119"/>
        <v>291</v>
      </c>
      <c r="E306" s="5" t="s">
        <v>989</v>
      </c>
      <c r="F306" t="s">
        <v>1978</v>
      </c>
      <c r="G306" s="3">
        <v>5.01</v>
      </c>
      <c r="H306" s="6">
        <f t="shared" si="121"/>
        <v>490.91303633999996</v>
      </c>
      <c r="I306" s="6">
        <f>+[149]Main!$K$5-[149]Main!$K$6</f>
        <v>112.38900000000001</v>
      </c>
      <c r="J306" s="6">
        <f>+H306-I306</f>
        <v>378.52403633999995</v>
      </c>
      <c r="K306" s="3" t="s">
        <v>1839</v>
      </c>
      <c r="L306" s="6">
        <f>+[149]Main!$K$3</f>
        <v>97.986633999999995</v>
      </c>
      <c r="M306" s="9">
        <v>45857</v>
      </c>
    </row>
    <row r="307" spans="1:38" x14ac:dyDescent="0.25">
      <c r="A307" t="s">
        <v>330</v>
      </c>
      <c r="D307">
        <f t="shared" ref="D307:D338" si="124">+D306+1</f>
        <v>292</v>
      </c>
      <c r="E307" s="5" t="s">
        <v>557</v>
      </c>
      <c r="F307" t="s">
        <v>558</v>
      </c>
      <c r="G307" s="3">
        <v>20.239999999999998</v>
      </c>
      <c r="H307" s="6">
        <f t="shared" si="121"/>
        <v>854.11613935999992</v>
      </c>
      <c r="I307" s="6">
        <f>+[150]Main!$J$5-[150]Main!$J$6</f>
        <v>127.87499999999999</v>
      </c>
      <c r="J307" s="6">
        <f>+H307-I307</f>
        <v>726.24113935999992</v>
      </c>
      <c r="K307" s="3" t="s">
        <v>1272</v>
      </c>
      <c r="L307" s="6">
        <f>+[150]Main!$J$3</f>
        <v>42.199413999999997</v>
      </c>
      <c r="M307" s="9">
        <v>45631</v>
      </c>
    </row>
    <row r="308" spans="1:38" x14ac:dyDescent="0.25">
      <c r="A308"/>
      <c r="B308"/>
      <c r="C308"/>
      <c r="D308">
        <f t="shared" si="124"/>
        <v>293</v>
      </c>
      <c r="E308" s="5" t="s">
        <v>234</v>
      </c>
      <c r="F308" s="1" t="s">
        <v>235</v>
      </c>
      <c r="G308" s="7">
        <v>7.84</v>
      </c>
      <c r="H308" s="6">
        <f t="shared" si="121"/>
        <v>619.61355344000003</v>
      </c>
      <c r="I308" s="6">
        <f>+[151]Main!$J$5-[151]Main!$J$6</f>
        <v>191.5</v>
      </c>
      <c r="J308" s="8">
        <f>+H308-I308</f>
        <v>428.11355344000003</v>
      </c>
      <c r="K308" s="3" t="s">
        <v>1272</v>
      </c>
      <c r="L308" s="6">
        <f>[151]Main!$J$3</f>
        <v>79.032341000000002</v>
      </c>
      <c r="M308" s="9">
        <v>45659</v>
      </c>
    </row>
    <row r="309" spans="1:38" x14ac:dyDescent="0.25">
      <c r="D309">
        <f t="shared" si="124"/>
        <v>294</v>
      </c>
      <c r="E309" s="5" t="s">
        <v>671</v>
      </c>
      <c r="F309" t="s">
        <v>672</v>
      </c>
      <c r="G309" s="7">
        <v>9.94</v>
      </c>
      <c r="H309" s="6">
        <f t="shared" si="121"/>
        <v>631.2039358799999</v>
      </c>
      <c r="I309" s="6">
        <f>+[152]Main!$J$5-[152]Main!$J$6</f>
        <v>351.702</v>
      </c>
      <c r="J309" s="6">
        <f>+H309-I309</f>
        <v>279.50193587999991</v>
      </c>
      <c r="K309" s="3" t="s">
        <v>1990</v>
      </c>
      <c r="L309" s="6">
        <f>[152]Main!$J$3</f>
        <v>63.501401999999999</v>
      </c>
      <c r="M309" s="9">
        <v>45916</v>
      </c>
      <c r="AL309" s="1">
        <v>2021</v>
      </c>
    </row>
    <row r="310" spans="1:38" x14ac:dyDescent="0.25">
      <c r="D310">
        <f t="shared" si="124"/>
        <v>295</v>
      </c>
      <c r="E310" s="1" t="s">
        <v>328</v>
      </c>
      <c r="F310" t="s">
        <v>329</v>
      </c>
      <c r="G310" s="7">
        <v>3.13</v>
      </c>
      <c r="H310" s="3">
        <v>380</v>
      </c>
    </row>
    <row r="311" spans="1:38" ht="13" x14ac:dyDescent="0.3">
      <c r="D311">
        <f t="shared" si="124"/>
        <v>296</v>
      </c>
      <c r="E311" s="24" t="s">
        <v>1347</v>
      </c>
      <c r="F311" t="s">
        <v>1348</v>
      </c>
      <c r="G311" s="3">
        <v>33.409999999999997</v>
      </c>
    </row>
    <row r="312" spans="1:38" x14ac:dyDescent="0.25">
      <c r="D312">
        <f t="shared" si="124"/>
        <v>297</v>
      </c>
      <c r="E312" t="s">
        <v>425</v>
      </c>
      <c r="F312" t="s">
        <v>426</v>
      </c>
      <c r="G312" s="7">
        <v>5.8</v>
      </c>
      <c r="H312" s="3">
        <v>593</v>
      </c>
    </row>
    <row r="313" spans="1:38" x14ac:dyDescent="0.25">
      <c r="D313">
        <f t="shared" si="124"/>
        <v>298</v>
      </c>
      <c r="E313" t="s">
        <v>739</v>
      </c>
      <c r="F313" t="s">
        <v>740</v>
      </c>
      <c r="G313" s="20">
        <v>55.9</v>
      </c>
    </row>
    <row r="314" spans="1:38" x14ac:dyDescent="0.25">
      <c r="A314" s="1" t="s">
        <v>330</v>
      </c>
      <c r="D314">
        <f t="shared" si="124"/>
        <v>299</v>
      </c>
      <c r="E314" t="s">
        <v>2196</v>
      </c>
      <c r="F314"/>
      <c r="G314" s="20"/>
    </row>
    <row r="315" spans="1:38" x14ac:dyDescent="0.25">
      <c r="A315" s="1" t="s">
        <v>330</v>
      </c>
      <c r="D315">
        <f t="shared" si="124"/>
        <v>300</v>
      </c>
      <c r="E315" t="s">
        <v>729</v>
      </c>
      <c r="F315" t="s">
        <v>730</v>
      </c>
      <c r="G315" s="3">
        <v>22.03</v>
      </c>
    </row>
    <row r="316" spans="1:38" x14ac:dyDescent="0.25">
      <c r="D316">
        <f t="shared" si="124"/>
        <v>301</v>
      </c>
      <c r="E316" t="s">
        <v>725</v>
      </c>
      <c r="F316" t="s">
        <v>726</v>
      </c>
      <c r="G316" s="3">
        <v>9.44</v>
      </c>
    </row>
    <row r="317" spans="1:38" x14ac:dyDescent="0.25">
      <c r="A317" s="1" t="s">
        <v>330</v>
      </c>
      <c r="D317">
        <f t="shared" si="124"/>
        <v>302</v>
      </c>
      <c r="E317" t="s">
        <v>1874</v>
      </c>
      <c r="F317" t="s">
        <v>1875</v>
      </c>
      <c r="G317" s="3">
        <v>11.73</v>
      </c>
    </row>
    <row r="318" spans="1:38" x14ac:dyDescent="0.25">
      <c r="D318">
        <f t="shared" si="124"/>
        <v>303</v>
      </c>
      <c r="E318" t="s">
        <v>1876</v>
      </c>
      <c r="F318" t="s">
        <v>1877</v>
      </c>
      <c r="G318" s="7">
        <v>8.5399999999999991</v>
      </c>
    </row>
    <row r="319" spans="1:38" x14ac:dyDescent="0.25">
      <c r="D319">
        <f t="shared" si="124"/>
        <v>304</v>
      </c>
      <c r="E319" t="s">
        <v>783</v>
      </c>
      <c r="F319" t="s">
        <v>784</v>
      </c>
      <c r="G319" s="18">
        <v>73.349999999999994</v>
      </c>
    </row>
    <row r="320" spans="1:38" x14ac:dyDescent="0.25">
      <c r="A320" t="s">
        <v>330</v>
      </c>
      <c r="D320">
        <f t="shared" si="124"/>
        <v>305</v>
      </c>
      <c r="E320" t="s">
        <v>1882</v>
      </c>
      <c r="F320" t="s">
        <v>1883</v>
      </c>
      <c r="G320" s="3">
        <v>11.38</v>
      </c>
    </row>
    <row r="321" spans="1:13" x14ac:dyDescent="0.25">
      <c r="D321">
        <f t="shared" si="124"/>
        <v>306</v>
      </c>
      <c r="E321" t="s">
        <v>1994</v>
      </c>
      <c r="F321" t="s">
        <v>1995</v>
      </c>
      <c r="G321" s="7">
        <v>5.59</v>
      </c>
    </row>
    <row r="322" spans="1:13" x14ac:dyDescent="0.25">
      <c r="D322">
        <f t="shared" si="124"/>
        <v>307</v>
      </c>
      <c r="E322" t="s">
        <v>2202</v>
      </c>
      <c r="F322"/>
      <c r="G322" s="7"/>
    </row>
    <row r="323" spans="1:13" x14ac:dyDescent="0.25">
      <c r="A323" t="s">
        <v>330</v>
      </c>
      <c r="B323"/>
      <c r="C323"/>
      <c r="D323">
        <f t="shared" si="124"/>
        <v>308</v>
      </c>
      <c r="E323" t="s">
        <v>1424</v>
      </c>
      <c r="F323" t="s">
        <v>1842</v>
      </c>
      <c r="G323" s="7">
        <v>21.16</v>
      </c>
    </row>
    <row r="324" spans="1:13" x14ac:dyDescent="0.25">
      <c r="A324"/>
      <c r="D324">
        <f t="shared" si="124"/>
        <v>309</v>
      </c>
      <c r="E324" t="s">
        <v>551</v>
      </c>
      <c r="F324" t="s">
        <v>552</v>
      </c>
      <c r="G324" s="3">
        <v>2.38</v>
      </c>
    </row>
    <row r="325" spans="1:13" x14ac:dyDescent="0.25">
      <c r="A325"/>
      <c r="B325" s="1">
        <v>-9</v>
      </c>
      <c r="C325" s="1">
        <v>7</v>
      </c>
      <c r="D325">
        <f t="shared" si="124"/>
        <v>310</v>
      </c>
      <c r="E325" s="5" t="s">
        <v>566</v>
      </c>
      <c r="F325" t="s">
        <v>565</v>
      </c>
      <c r="G325" s="7">
        <v>1.5</v>
      </c>
      <c r="H325" s="6">
        <f>+G325*L325</f>
        <v>39.877887000000001</v>
      </c>
      <c r="I325" s="6">
        <f>+[153]Main!$M$5-[153]Main!$M$6</f>
        <v>27.734000000000002</v>
      </c>
      <c r="J325" s="6">
        <f>+H325-I325</f>
        <v>12.143886999999999</v>
      </c>
      <c r="K325" s="3" t="s">
        <v>1998</v>
      </c>
      <c r="L325" s="6">
        <f>+[153]Main!$M$3</f>
        <v>26.585258</v>
      </c>
      <c r="M325" s="9">
        <v>45979</v>
      </c>
    </row>
    <row r="326" spans="1:13" x14ac:dyDescent="0.25">
      <c r="A326" s="1" t="s">
        <v>330</v>
      </c>
      <c r="D326">
        <f t="shared" si="124"/>
        <v>311</v>
      </c>
      <c r="E326" s="5" t="s">
        <v>1972</v>
      </c>
      <c r="F326" t="s">
        <v>1973</v>
      </c>
      <c r="G326" s="3">
        <v>9.15</v>
      </c>
      <c r="H326" s="6">
        <f>+G326*L326</f>
        <v>294.58740675000001</v>
      </c>
      <c r="I326" s="6">
        <f>+[154]Main!$K$5-[154]Main!$K$6</f>
        <v>144.56900000000002</v>
      </c>
      <c r="J326" s="6">
        <f>+H326-I326</f>
        <v>150.01840675</v>
      </c>
      <c r="K326" s="3" t="s">
        <v>1839</v>
      </c>
      <c r="L326" s="6">
        <f>+[154]Main!$K$3</f>
        <v>32.195345000000003</v>
      </c>
      <c r="M326" s="9">
        <v>45824</v>
      </c>
    </row>
    <row r="327" spans="1:13" x14ac:dyDescent="0.25">
      <c r="A327" t="s">
        <v>330</v>
      </c>
      <c r="C327"/>
      <c r="D327">
        <f t="shared" si="124"/>
        <v>312</v>
      </c>
      <c r="E327" s="1" t="s">
        <v>183</v>
      </c>
      <c r="F327" s="1" t="s">
        <v>184</v>
      </c>
      <c r="G327" s="7">
        <v>4.9800000000000004</v>
      </c>
      <c r="H327" s="6"/>
    </row>
    <row r="328" spans="1:13" x14ac:dyDescent="0.25">
      <c r="A328" t="s">
        <v>330</v>
      </c>
      <c r="D328">
        <f t="shared" si="124"/>
        <v>313</v>
      </c>
      <c r="E328" s="5" t="s">
        <v>797</v>
      </c>
      <c r="F328" t="s">
        <v>798</v>
      </c>
      <c r="G328" s="7">
        <v>9</v>
      </c>
      <c r="H328" s="6">
        <f>+G328*L328</f>
        <v>992.65538700000002</v>
      </c>
      <c r="I328" s="6">
        <f>+[155]Main!$J$5-[155]Main!$J$6</f>
        <v>334.92200000000003</v>
      </c>
      <c r="J328" s="6">
        <f>+H328-I328</f>
        <v>657.73338699999999</v>
      </c>
      <c r="K328" s="3" t="s">
        <v>1998</v>
      </c>
      <c r="L328" s="6">
        <f>+[155]Main!$J$3</f>
        <v>110.29504300000001</v>
      </c>
      <c r="M328" s="9">
        <v>46043</v>
      </c>
    </row>
    <row r="329" spans="1:13" x14ac:dyDescent="0.25">
      <c r="A329"/>
      <c r="D329">
        <f t="shared" si="124"/>
        <v>314</v>
      </c>
      <c r="E329" t="s">
        <v>1951</v>
      </c>
      <c r="F329" t="s">
        <v>1952</v>
      </c>
      <c r="G329" s="3">
        <v>3.19</v>
      </c>
    </row>
    <row r="330" spans="1:13" x14ac:dyDescent="0.25">
      <c r="A330"/>
      <c r="D330">
        <f t="shared" si="124"/>
        <v>315</v>
      </c>
      <c r="E330" t="s">
        <v>2211</v>
      </c>
      <c r="F330"/>
    </row>
    <row r="331" spans="1:13" x14ac:dyDescent="0.25">
      <c r="A331"/>
      <c r="D331">
        <f t="shared" si="124"/>
        <v>316</v>
      </c>
      <c r="E331" t="s">
        <v>1899</v>
      </c>
      <c r="F331" t="s">
        <v>1900</v>
      </c>
      <c r="G331" s="3">
        <v>9.7799999999999994</v>
      </c>
    </row>
    <row r="332" spans="1:13" x14ac:dyDescent="0.25">
      <c r="A332"/>
      <c r="D332">
        <f t="shared" si="124"/>
        <v>317</v>
      </c>
      <c r="E332" t="s">
        <v>974</v>
      </c>
      <c r="F332" t="s">
        <v>975</v>
      </c>
      <c r="G332" s="3">
        <v>2.76</v>
      </c>
    </row>
    <row r="333" spans="1:13" x14ac:dyDescent="0.25">
      <c r="A333"/>
      <c r="D333">
        <f t="shared" si="124"/>
        <v>318</v>
      </c>
      <c r="E333" t="s">
        <v>972</v>
      </c>
      <c r="F333" t="s">
        <v>973</v>
      </c>
      <c r="G333" s="3">
        <v>0.98</v>
      </c>
    </row>
    <row r="334" spans="1:13" x14ac:dyDescent="0.25">
      <c r="A334" t="s">
        <v>330</v>
      </c>
      <c r="D334">
        <f t="shared" si="124"/>
        <v>319</v>
      </c>
      <c r="E334" t="s">
        <v>1933</v>
      </c>
      <c r="F334" t="s">
        <v>1934</v>
      </c>
      <c r="G334" s="3">
        <v>6.77</v>
      </c>
    </row>
    <row r="335" spans="1:13" x14ac:dyDescent="0.25">
      <c r="A335"/>
      <c r="D335">
        <f t="shared" si="124"/>
        <v>320</v>
      </c>
      <c r="E335" t="s">
        <v>1935</v>
      </c>
      <c r="F335" t="s">
        <v>1936</v>
      </c>
      <c r="G335" s="3">
        <v>6.99</v>
      </c>
    </row>
    <row r="336" spans="1:13" x14ac:dyDescent="0.25">
      <c r="A336"/>
      <c r="B336"/>
      <c r="C336"/>
      <c r="D336">
        <f t="shared" si="124"/>
        <v>321</v>
      </c>
      <c r="E336" t="s">
        <v>982</v>
      </c>
      <c r="F336" t="s">
        <v>983</v>
      </c>
      <c r="G336" s="3">
        <v>0.88</v>
      </c>
    </row>
    <row r="337" spans="1:43" x14ac:dyDescent="0.25">
      <c r="A337"/>
      <c r="B337"/>
      <c r="C337"/>
      <c r="D337">
        <f t="shared" si="124"/>
        <v>322</v>
      </c>
      <c r="E337" t="s">
        <v>1965</v>
      </c>
      <c r="F337" t="s">
        <v>1966</v>
      </c>
      <c r="G337" s="3">
        <v>3.15</v>
      </c>
    </row>
    <row r="338" spans="1:43" x14ac:dyDescent="0.25">
      <c r="A338"/>
      <c r="B338"/>
      <c r="C338"/>
      <c r="D338">
        <f t="shared" si="124"/>
        <v>323</v>
      </c>
      <c r="E338" t="s">
        <v>1967</v>
      </c>
      <c r="F338" t="s">
        <v>1968</v>
      </c>
      <c r="G338" s="3">
        <v>5.48</v>
      </c>
    </row>
    <row r="339" spans="1:43" x14ac:dyDescent="0.25">
      <c r="A339"/>
      <c r="B339"/>
      <c r="C339"/>
      <c r="D339">
        <f t="shared" ref="D339:D356" si="125">+D338+1</f>
        <v>324</v>
      </c>
      <c r="E339" t="s">
        <v>984</v>
      </c>
      <c r="F339" t="s">
        <v>985</v>
      </c>
      <c r="G339" s="3">
        <v>0.57999999999999996</v>
      </c>
    </row>
    <row r="340" spans="1:43" s="33" customFormat="1" ht="13" x14ac:dyDescent="0.3">
      <c r="D340" s="33">
        <f t="shared" si="125"/>
        <v>325</v>
      </c>
      <c r="E340" s="33" t="s">
        <v>970</v>
      </c>
      <c r="F340" s="33" t="s">
        <v>971</v>
      </c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60"/>
      <c r="T340" s="60"/>
      <c r="U340" s="60"/>
      <c r="V340" s="60"/>
      <c r="W340" s="117"/>
      <c r="X340" s="60"/>
      <c r="Y340" s="60"/>
      <c r="Z340" s="60"/>
      <c r="AA340" s="60"/>
      <c r="AB340" s="127"/>
      <c r="AC340" s="106"/>
      <c r="AD340" s="106"/>
      <c r="AE340" s="106"/>
      <c r="AF340" s="106"/>
      <c r="AG340" s="106"/>
      <c r="AH340" s="106"/>
      <c r="AI340" s="106"/>
      <c r="AJ340" s="106"/>
      <c r="AK340" s="106"/>
      <c r="AO340" s="58"/>
      <c r="AP340" s="58"/>
      <c r="AQ340" s="58"/>
    </row>
    <row r="341" spans="1:43" x14ac:dyDescent="0.25">
      <c r="D341">
        <f t="shared" si="125"/>
        <v>326</v>
      </c>
      <c r="E341" t="s">
        <v>569</v>
      </c>
      <c r="F341" t="s">
        <v>570</v>
      </c>
      <c r="G341" s="7">
        <v>1.35</v>
      </c>
    </row>
    <row r="342" spans="1:43" x14ac:dyDescent="0.25">
      <c r="A342"/>
      <c r="D342">
        <f t="shared" si="125"/>
        <v>327</v>
      </c>
      <c r="E342" t="s">
        <v>573</v>
      </c>
      <c r="F342" t="s">
        <v>574</v>
      </c>
      <c r="G342" s="3">
        <v>3.17</v>
      </c>
    </row>
    <row r="343" spans="1:43" x14ac:dyDescent="0.25">
      <c r="A343"/>
      <c r="D343">
        <f t="shared" si="125"/>
        <v>328</v>
      </c>
      <c r="E343" t="s">
        <v>2200</v>
      </c>
      <c r="F343"/>
    </row>
    <row r="344" spans="1:43" x14ac:dyDescent="0.25">
      <c r="A344"/>
      <c r="D344">
        <f t="shared" si="125"/>
        <v>329</v>
      </c>
      <c r="E344" t="s">
        <v>2199</v>
      </c>
      <c r="F344"/>
    </row>
    <row r="345" spans="1:43" x14ac:dyDescent="0.25">
      <c r="A345"/>
      <c r="D345">
        <f t="shared" si="125"/>
        <v>330</v>
      </c>
      <c r="E345" t="s">
        <v>1969</v>
      </c>
      <c r="F345" t="s">
        <v>1970</v>
      </c>
      <c r="G345" s="3">
        <v>8.0500000000000007</v>
      </c>
    </row>
    <row r="346" spans="1:43" x14ac:dyDescent="0.25">
      <c r="A346" s="1" t="s">
        <v>330</v>
      </c>
      <c r="D346">
        <f t="shared" si="125"/>
        <v>331</v>
      </c>
      <c r="E346" t="s">
        <v>577</v>
      </c>
      <c r="F346" t="s">
        <v>578</v>
      </c>
      <c r="G346" s="3">
        <v>3.69</v>
      </c>
    </row>
    <row r="347" spans="1:43" x14ac:dyDescent="0.25">
      <c r="A347"/>
      <c r="B347"/>
      <c r="C347"/>
      <c r="D347">
        <f t="shared" si="125"/>
        <v>332</v>
      </c>
      <c r="E347" s="5" t="s">
        <v>1905</v>
      </c>
      <c r="F347" t="s">
        <v>1906</v>
      </c>
      <c r="G347" s="7">
        <v>40.81</v>
      </c>
      <c r="H347" s="6">
        <f>+G347*L347</f>
        <v>1963.7545096400002</v>
      </c>
      <c r="I347" s="6">
        <f>+[156]Main!$J$5-[156]Main!$J$6</f>
        <v>383.93500000000006</v>
      </c>
      <c r="J347" s="6">
        <f>+H347-I347</f>
        <v>1579.81950964</v>
      </c>
      <c r="K347" s="3" t="s">
        <v>1998</v>
      </c>
      <c r="L347" s="6">
        <f>+[156]Main!$J$3</f>
        <v>48.119444000000001</v>
      </c>
    </row>
    <row r="348" spans="1:43" x14ac:dyDescent="0.25">
      <c r="B348"/>
      <c r="C348"/>
      <c r="D348">
        <f t="shared" si="125"/>
        <v>333</v>
      </c>
      <c r="E348" s="5" t="s">
        <v>880</v>
      </c>
      <c r="F348" t="s">
        <v>881</v>
      </c>
      <c r="G348" s="7">
        <v>8.52</v>
      </c>
      <c r="H348" s="6">
        <f>+G348*L348</f>
        <v>379.71368568000003</v>
      </c>
      <c r="I348" s="6">
        <f>+[157]Main!$M$5-[157]Main!$M$6</f>
        <v>99.997</v>
      </c>
      <c r="J348" s="6">
        <f>+H348-I348</f>
        <v>279.71668568000001</v>
      </c>
      <c r="K348" s="3" t="s">
        <v>1066</v>
      </c>
      <c r="L348" s="6">
        <f>+[157]Main!$M$3</f>
        <v>44.567334000000002</v>
      </c>
      <c r="M348" s="9">
        <v>45568</v>
      </c>
    </row>
    <row r="349" spans="1:43" x14ac:dyDescent="0.25">
      <c r="B349"/>
      <c r="C349"/>
      <c r="D349">
        <f t="shared" si="125"/>
        <v>334</v>
      </c>
      <c r="E349" s="5" t="s">
        <v>864</v>
      </c>
      <c r="F349" t="s">
        <v>865</v>
      </c>
      <c r="G349" s="7">
        <v>13.04</v>
      </c>
      <c r="H349" s="6">
        <f>+G349*L349</f>
        <v>563.52975487999993</v>
      </c>
      <c r="I349" s="6">
        <f>+[158]Main!$K$5-[158]Main!$K$6</f>
        <v>174.27199999999999</v>
      </c>
      <c r="J349" s="6">
        <f>+H349-I349</f>
        <v>389.25775487999994</v>
      </c>
      <c r="K349" s="3" t="s">
        <v>1066</v>
      </c>
      <c r="L349" s="6">
        <f>+[158]Main!$K$3</f>
        <v>43.215471999999998</v>
      </c>
      <c r="M349" s="9">
        <v>45567</v>
      </c>
    </row>
    <row r="350" spans="1:43" x14ac:dyDescent="0.25">
      <c r="A350" s="1" t="s">
        <v>330</v>
      </c>
      <c r="D350">
        <f t="shared" si="125"/>
        <v>335</v>
      </c>
      <c r="E350" s="5" t="s">
        <v>581</v>
      </c>
      <c r="F350" t="s">
        <v>582</v>
      </c>
      <c r="G350" s="7">
        <v>60.31</v>
      </c>
      <c r="H350" s="6">
        <f>G350*L350</f>
        <v>1194.09922067</v>
      </c>
      <c r="I350" s="6">
        <f>[159]Main!$M$5-[159]Main!$M$6</f>
        <v>236.422</v>
      </c>
      <c r="J350" s="6">
        <f>H350-I350</f>
        <v>957.67722067</v>
      </c>
      <c r="L350" s="6">
        <f>[159]Main!$M$3</f>
        <v>19.799357000000001</v>
      </c>
      <c r="M350" s="9">
        <v>45063</v>
      </c>
      <c r="AL350" s="1">
        <v>2017</v>
      </c>
    </row>
    <row r="351" spans="1:43" x14ac:dyDescent="0.25">
      <c r="A351" s="1" t="s">
        <v>330</v>
      </c>
      <c r="B351"/>
      <c r="C351"/>
      <c r="D351">
        <f t="shared" si="125"/>
        <v>336</v>
      </c>
      <c r="E351" s="5" t="s">
        <v>934</v>
      </c>
      <c r="F351" t="s">
        <v>935</v>
      </c>
      <c r="G351" s="3">
        <v>10.35</v>
      </c>
      <c r="H351" s="6">
        <f>+G351*L351</f>
        <v>553.91347350000001</v>
      </c>
      <c r="I351" s="6">
        <f>+[160]Main!$K$5-[160]Main!$K$6</f>
        <v>280.24800000000005</v>
      </c>
      <c r="J351" s="6">
        <f>+H351-I351</f>
        <v>273.66547349999996</v>
      </c>
      <c r="K351" s="3" t="s">
        <v>1066</v>
      </c>
      <c r="L351" s="6">
        <f>+[160]Main!$K$3</f>
        <v>53.518210000000003</v>
      </c>
      <c r="M351" s="9">
        <v>45557</v>
      </c>
    </row>
    <row r="352" spans="1:43" x14ac:dyDescent="0.25">
      <c r="A352"/>
      <c r="B352"/>
      <c r="C352"/>
      <c r="D352">
        <f t="shared" si="125"/>
        <v>337</v>
      </c>
      <c r="E352" s="5" t="s">
        <v>1163</v>
      </c>
      <c r="F352" t="s">
        <v>1164</v>
      </c>
      <c r="G352" s="7">
        <v>0.42</v>
      </c>
      <c r="H352" s="6">
        <f>+G352*L352</f>
        <v>31.393140239999997</v>
      </c>
      <c r="I352" s="6">
        <f>+[161]Main!$K$5-[161]Main!$K$6</f>
        <v>29.36</v>
      </c>
      <c r="J352" s="6">
        <f>+H352-I352</f>
        <v>2.033140239999998</v>
      </c>
      <c r="K352" s="3" t="s">
        <v>1066</v>
      </c>
      <c r="L352" s="6">
        <f>+[161]Main!$K$3</f>
        <v>74.745571999999996</v>
      </c>
      <c r="M352" s="9">
        <v>45554</v>
      </c>
    </row>
    <row r="353" spans="1:43" x14ac:dyDescent="0.25">
      <c r="A353"/>
      <c r="B353"/>
      <c r="C353"/>
      <c r="D353">
        <f t="shared" si="125"/>
        <v>338</v>
      </c>
      <c r="E353" s="5" t="s">
        <v>1170</v>
      </c>
      <c r="F353" t="s">
        <v>1171</v>
      </c>
      <c r="G353" s="3">
        <v>0.53</v>
      </c>
      <c r="H353" s="6">
        <f>+G353*L353</f>
        <v>46.809238010000001</v>
      </c>
      <c r="I353" s="6">
        <f>+[162]Main!$L$5-[162]Main!$L$6</f>
        <v>14.502000000000001</v>
      </c>
      <c r="J353" s="6">
        <f>+H353-I353</f>
        <v>32.307238009999999</v>
      </c>
      <c r="K353" s="3" t="s">
        <v>1066</v>
      </c>
      <c r="L353" s="6">
        <f>+[162]Main!$L$3</f>
        <v>88.319316999999998</v>
      </c>
      <c r="M353" s="9">
        <v>45558</v>
      </c>
    </row>
    <row r="354" spans="1:43" x14ac:dyDescent="0.25">
      <c r="D354">
        <f t="shared" si="125"/>
        <v>339</v>
      </c>
      <c r="E354" s="5" t="s">
        <v>583</v>
      </c>
      <c r="F354" t="s">
        <v>584</v>
      </c>
      <c r="G354" s="3">
        <v>0.33</v>
      </c>
      <c r="H354" s="6">
        <f>G354*L354</f>
        <v>11.798145480000001</v>
      </c>
      <c r="I354" s="6">
        <f>[163]Main!$K$5-[163]Main!$K$6</f>
        <v>54.983000000000004</v>
      </c>
      <c r="J354" s="6">
        <f>H354-I354</f>
        <v>-43.184854520000002</v>
      </c>
      <c r="L354" s="6">
        <f>[163]Main!$K$3</f>
        <v>35.751956</v>
      </c>
      <c r="M354" s="9">
        <v>45063</v>
      </c>
    </row>
    <row r="355" spans="1:43" x14ac:dyDescent="0.25">
      <c r="B355"/>
      <c r="C355"/>
      <c r="D355">
        <f t="shared" si="125"/>
        <v>340</v>
      </c>
      <c r="E355" s="5" t="s">
        <v>930</v>
      </c>
      <c r="F355" t="s">
        <v>931</v>
      </c>
      <c r="G355" s="7">
        <v>2.06</v>
      </c>
      <c r="H355" s="6">
        <f>+G355*L355</f>
        <v>145.35103323999999</v>
      </c>
      <c r="I355" s="6">
        <f>+[164]Main!$K$5-[164]Main!$K$6</f>
        <v>426.65000000000003</v>
      </c>
      <c r="J355" s="6">
        <f>+H355-I355</f>
        <v>-281.29896676000004</v>
      </c>
      <c r="K355" s="3" t="s">
        <v>1066</v>
      </c>
      <c r="L355" s="6">
        <f>+[164]Main!$K$3</f>
        <v>70.558753999999993</v>
      </c>
      <c r="M355" s="9">
        <v>45564</v>
      </c>
      <c r="AL355" s="1">
        <v>2015</v>
      </c>
    </row>
    <row r="356" spans="1:43" x14ac:dyDescent="0.25">
      <c r="D356">
        <f t="shared" si="125"/>
        <v>341</v>
      </c>
      <c r="E356" s="1" t="s">
        <v>585</v>
      </c>
      <c r="F356" s="1" t="s">
        <v>586</v>
      </c>
      <c r="G356" s="107">
        <v>30.45</v>
      </c>
    </row>
    <row r="357" spans="1:43" s="33" customFormat="1" ht="13" x14ac:dyDescent="0.3">
      <c r="D357" s="33">
        <f t="shared" ref="D357:D420" si="126">+D356+1</f>
        <v>342</v>
      </c>
      <c r="E357" s="33" t="s">
        <v>587</v>
      </c>
      <c r="F357" s="33" t="s">
        <v>588</v>
      </c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60"/>
      <c r="T357" s="60"/>
      <c r="U357" s="60"/>
      <c r="V357" s="60"/>
      <c r="W357" s="117"/>
      <c r="X357" s="60"/>
      <c r="Y357" s="60"/>
      <c r="Z357" s="60"/>
      <c r="AA357" s="60"/>
      <c r="AB357" s="127"/>
      <c r="AC357" s="106"/>
      <c r="AD357" s="106"/>
      <c r="AE357" s="106"/>
      <c r="AF357" s="106"/>
      <c r="AG357" s="106"/>
      <c r="AH357" s="106"/>
      <c r="AI357" s="106"/>
      <c r="AJ357" s="106"/>
      <c r="AK357" s="106"/>
      <c r="AO357" s="58"/>
      <c r="AP357" s="58"/>
      <c r="AQ357" s="58"/>
    </row>
    <row r="358" spans="1:43" s="33" customFormat="1" ht="13" x14ac:dyDescent="0.3">
      <c r="D358" s="33">
        <f t="shared" si="126"/>
        <v>343</v>
      </c>
      <c r="E358" s="33" t="s">
        <v>589</v>
      </c>
      <c r="F358" s="33" t="s">
        <v>590</v>
      </c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60"/>
      <c r="T358" s="60"/>
      <c r="U358" s="60"/>
      <c r="V358" s="60"/>
      <c r="W358" s="117"/>
      <c r="X358" s="60"/>
      <c r="Y358" s="60"/>
      <c r="Z358" s="60"/>
      <c r="AA358" s="60"/>
      <c r="AB358" s="127"/>
      <c r="AC358" s="106"/>
      <c r="AD358" s="106"/>
      <c r="AE358" s="106"/>
      <c r="AF358" s="106"/>
      <c r="AG358" s="106"/>
      <c r="AH358" s="106"/>
      <c r="AI358" s="106"/>
      <c r="AJ358" s="106"/>
      <c r="AK358" s="106"/>
      <c r="AO358" s="58"/>
      <c r="AP358" s="58"/>
      <c r="AQ358" s="58"/>
    </row>
    <row r="359" spans="1:43" s="33" customFormat="1" ht="13" x14ac:dyDescent="0.3">
      <c r="D359" s="33">
        <f t="shared" si="126"/>
        <v>344</v>
      </c>
      <c r="E359" s="33" t="s">
        <v>445</v>
      </c>
      <c r="F359" s="33" t="s">
        <v>658</v>
      </c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60"/>
      <c r="T359" s="60"/>
      <c r="U359" s="60"/>
      <c r="V359" s="60"/>
      <c r="W359" s="117"/>
      <c r="X359" s="60"/>
      <c r="Y359" s="60"/>
      <c r="Z359" s="60"/>
      <c r="AA359" s="60"/>
      <c r="AB359" s="127"/>
      <c r="AC359" s="106"/>
      <c r="AD359" s="106"/>
      <c r="AE359" s="106"/>
      <c r="AF359" s="106"/>
      <c r="AG359" s="106"/>
      <c r="AH359" s="106"/>
      <c r="AI359" s="106"/>
      <c r="AJ359" s="106"/>
      <c r="AK359" s="106"/>
      <c r="AO359" s="58"/>
      <c r="AP359" s="58"/>
      <c r="AQ359" s="58"/>
    </row>
    <row r="360" spans="1:43" x14ac:dyDescent="0.25">
      <c r="D360">
        <f t="shared" si="126"/>
        <v>345</v>
      </c>
      <c r="E360" t="s">
        <v>1165</v>
      </c>
      <c r="F360" t="s">
        <v>1166</v>
      </c>
      <c r="G360" s="3">
        <v>1.34</v>
      </c>
    </row>
    <row r="361" spans="1:43" x14ac:dyDescent="0.25">
      <c r="D361">
        <f t="shared" si="126"/>
        <v>346</v>
      </c>
      <c r="E361" t="s">
        <v>771</v>
      </c>
      <c r="F361" t="s">
        <v>772</v>
      </c>
      <c r="G361" s="14">
        <v>3.22</v>
      </c>
    </row>
    <row r="362" spans="1:43" x14ac:dyDescent="0.25">
      <c r="D362">
        <f t="shared" si="126"/>
        <v>347</v>
      </c>
      <c r="E362" t="s">
        <v>2060</v>
      </c>
      <c r="F362" t="s">
        <v>2061</v>
      </c>
      <c r="G362" s="14"/>
    </row>
    <row r="363" spans="1:43" x14ac:dyDescent="0.25">
      <c r="A363"/>
      <c r="B363"/>
      <c r="C363"/>
      <c r="D363">
        <f t="shared" si="126"/>
        <v>348</v>
      </c>
      <c r="E363" t="s">
        <v>1264</v>
      </c>
      <c r="F363" t="s">
        <v>1265</v>
      </c>
      <c r="G363" s="7">
        <v>0.61</v>
      </c>
      <c r="H363" s="6"/>
    </row>
    <row r="364" spans="1:43" s="33" customFormat="1" ht="13" x14ac:dyDescent="0.3">
      <c r="D364" s="33">
        <f t="shared" si="126"/>
        <v>349</v>
      </c>
      <c r="E364" s="33" t="s">
        <v>663</v>
      </c>
      <c r="F364" s="33" t="s">
        <v>664</v>
      </c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60"/>
      <c r="T364" s="60"/>
      <c r="U364" s="60"/>
      <c r="V364" s="60"/>
      <c r="W364" s="117"/>
      <c r="X364" s="60"/>
      <c r="Y364" s="60"/>
      <c r="Z364" s="60"/>
      <c r="AA364" s="60"/>
      <c r="AB364" s="127"/>
      <c r="AC364" s="106"/>
      <c r="AD364" s="106"/>
      <c r="AE364" s="106"/>
      <c r="AF364" s="106"/>
      <c r="AG364" s="106"/>
      <c r="AH364" s="106"/>
      <c r="AI364" s="106"/>
      <c r="AJ364" s="106"/>
      <c r="AK364" s="106"/>
      <c r="AO364" s="58"/>
      <c r="AP364" s="58"/>
      <c r="AQ364" s="58"/>
    </row>
    <row r="365" spans="1:43" x14ac:dyDescent="0.25">
      <c r="B365"/>
      <c r="C365"/>
      <c r="D365">
        <f t="shared" si="126"/>
        <v>350</v>
      </c>
      <c r="E365" s="5" t="s">
        <v>1976</v>
      </c>
      <c r="F365" t="s">
        <v>1977</v>
      </c>
      <c r="G365" s="3">
        <v>7.73</v>
      </c>
      <c r="H365" s="6">
        <f>+G365*L365</f>
        <v>49.877036539999999</v>
      </c>
      <c r="I365" s="6">
        <f>+[165]Main!$J$5-[165]Main!$J$6</f>
        <v>26.719000000000001</v>
      </c>
      <c r="J365" s="6">
        <f>+H365-I365</f>
        <v>23.158036539999998</v>
      </c>
      <c r="K365" s="3" t="s">
        <v>1839</v>
      </c>
      <c r="L365" s="6">
        <f>[165]Main!$J$3</f>
        <v>6.4523979999999996</v>
      </c>
      <c r="M365" s="9">
        <v>45847</v>
      </c>
    </row>
    <row r="366" spans="1:43" x14ac:dyDescent="0.25">
      <c r="D366">
        <f t="shared" si="126"/>
        <v>351</v>
      </c>
      <c r="E366" t="s">
        <v>806</v>
      </c>
      <c r="F366" t="s">
        <v>807</v>
      </c>
      <c r="G366" s="16">
        <v>3340</v>
      </c>
    </row>
    <row r="367" spans="1:43" x14ac:dyDescent="0.25">
      <c r="A367" t="s">
        <v>330</v>
      </c>
      <c r="D367">
        <f t="shared" si="126"/>
        <v>352</v>
      </c>
      <c r="E367" t="s">
        <v>1903</v>
      </c>
      <c r="F367" t="s">
        <v>1904</v>
      </c>
      <c r="G367" s="108">
        <v>6.25</v>
      </c>
    </row>
    <row r="368" spans="1:43" x14ac:dyDescent="0.25">
      <c r="A368" t="s">
        <v>330</v>
      </c>
      <c r="B368"/>
      <c r="C368"/>
      <c r="D368">
        <f t="shared" si="126"/>
        <v>353</v>
      </c>
      <c r="E368" t="s">
        <v>812</v>
      </c>
      <c r="F368" t="s">
        <v>813</v>
      </c>
      <c r="G368" s="3">
        <v>11.18</v>
      </c>
    </row>
    <row r="369" spans="1:43" x14ac:dyDescent="0.25">
      <c r="A369"/>
      <c r="B369"/>
      <c r="C369"/>
      <c r="D369">
        <f t="shared" si="126"/>
        <v>354</v>
      </c>
      <c r="E369" t="s">
        <v>1954</v>
      </c>
      <c r="F369" t="s">
        <v>1953</v>
      </c>
      <c r="G369" s="3">
        <v>2.62</v>
      </c>
    </row>
    <row r="370" spans="1:43" x14ac:dyDescent="0.25">
      <c r="A370"/>
      <c r="B370"/>
      <c r="C370"/>
      <c r="D370">
        <f t="shared" si="126"/>
        <v>355</v>
      </c>
      <c r="E370" t="s">
        <v>1955</v>
      </c>
      <c r="F370" t="s">
        <v>1956</v>
      </c>
      <c r="G370" s="7">
        <v>3.85</v>
      </c>
    </row>
    <row r="371" spans="1:43" x14ac:dyDescent="0.25">
      <c r="A371"/>
      <c r="B371"/>
      <c r="C371"/>
      <c r="D371">
        <f t="shared" si="126"/>
        <v>356</v>
      </c>
      <c r="E371" t="s">
        <v>1907</v>
      </c>
      <c r="F371" t="s">
        <v>1908</v>
      </c>
      <c r="G371" s="7">
        <v>10.1</v>
      </c>
    </row>
    <row r="372" spans="1:43" x14ac:dyDescent="0.25">
      <c r="A372"/>
      <c r="B372"/>
      <c r="C372"/>
      <c r="D372">
        <f t="shared" si="126"/>
        <v>357</v>
      </c>
      <c r="E372" t="s">
        <v>814</v>
      </c>
      <c r="F372" t="s">
        <v>815</v>
      </c>
      <c r="G372" s="3">
        <v>5.83</v>
      </c>
    </row>
    <row r="373" spans="1:43" x14ac:dyDescent="0.25">
      <c r="A373"/>
      <c r="B373"/>
      <c r="C373"/>
      <c r="D373">
        <f>+D372+1</f>
        <v>358</v>
      </c>
      <c r="E373" t="s">
        <v>808</v>
      </c>
      <c r="F373" t="s">
        <v>809</v>
      </c>
      <c r="G373" s="3">
        <v>12.06</v>
      </c>
    </row>
    <row r="374" spans="1:43" x14ac:dyDescent="0.25">
      <c r="A374" t="s">
        <v>330</v>
      </c>
      <c r="B374"/>
      <c r="C374"/>
      <c r="D374">
        <f>+D373+1</f>
        <v>359</v>
      </c>
      <c r="E374" t="s">
        <v>1920</v>
      </c>
      <c r="F374" t="s">
        <v>1921</v>
      </c>
      <c r="G374" s="3">
        <v>37.26</v>
      </c>
    </row>
    <row r="375" spans="1:43" x14ac:dyDescent="0.25">
      <c r="A375"/>
      <c r="D375">
        <f t="shared" si="126"/>
        <v>360</v>
      </c>
      <c r="E375" t="s">
        <v>804</v>
      </c>
      <c r="F375" t="s">
        <v>805</v>
      </c>
      <c r="G375" s="3">
        <v>7.38</v>
      </c>
    </row>
    <row r="376" spans="1:43" s="33" customFormat="1" ht="13" x14ac:dyDescent="0.3">
      <c r="D376" s="33">
        <f t="shared" si="126"/>
        <v>361</v>
      </c>
      <c r="E376" s="33" t="s">
        <v>669</v>
      </c>
      <c r="F376" s="33" t="s">
        <v>670</v>
      </c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60"/>
      <c r="T376" s="60"/>
      <c r="U376" s="60"/>
      <c r="V376" s="60"/>
      <c r="W376" s="117"/>
      <c r="X376" s="60"/>
      <c r="Y376" s="60"/>
      <c r="Z376" s="60"/>
      <c r="AA376" s="60"/>
      <c r="AB376" s="127"/>
      <c r="AC376" s="106"/>
      <c r="AD376" s="106"/>
      <c r="AE376" s="106"/>
      <c r="AF376" s="106"/>
      <c r="AG376" s="106"/>
      <c r="AH376" s="106"/>
      <c r="AI376" s="106"/>
      <c r="AJ376" s="106"/>
      <c r="AK376" s="106"/>
      <c r="AO376" s="58"/>
      <c r="AP376" s="58"/>
      <c r="AQ376" s="58"/>
    </row>
    <row r="377" spans="1:43" x14ac:dyDescent="0.25">
      <c r="D377">
        <f t="shared" si="126"/>
        <v>362</v>
      </c>
      <c r="E377" t="s">
        <v>1880</v>
      </c>
      <c r="F377" t="s">
        <v>1881</v>
      </c>
      <c r="G377" s="3">
        <v>31.31</v>
      </c>
    </row>
    <row r="378" spans="1:43" x14ac:dyDescent="0.25">
      <c r="D378">
        <f t="shared" si="126"/>
        <v>363</v>
      </c>
      <c r="E378" t="s">
        <v>733</v>
      </c>
      <c r="F378" t="s">
        <v>734</v>
      </c>
      <c r="G378" s="3">
        <v>11.26</v>
      </c>
    </row>
    <row r="379" spans="1:43" x14ac:dyDescent="0.25">
      <c r="D379">
        <f t="shared" si="126"/>
        <v>364</v>
      </c>
      <c r="E379" s="5" t="s">
        <v>731</v>
      </c>
      <c r="F379" t="s">
        <v>732</v>
      </c>
      <c r="G379" s="3">
        <v>1.61</v>
      </c>
    </row>
    <row r="380" spans="1:43" x14ac:dyDescent="0.25">
      <c r="D380">
        <f t="shared" si="126"/>
        <v>365</v>
      </c>
      <c r="E380" t="s">
        <v>673</v>
      </c>
      <c r="F380" t="s">
        <v>674</v>
      </c>
      <c r="G380" s="3">
        <v>1.66</v>
      </c>
    </row>
    <row r="381" spans="1:43" s="24" customFormat="1" ht="13" x14ac:dyDescent="0.3">
      <c r="D381" s="24">
        <f t="shared" si="126"/>
        <v>366</v>
      </c>
      <c r="E381" s="24" t="s">
        <v>692</v>
      </c>
      <c r="F381" s="24" t="s">
        <v>693</v>
      </c>
      <c r="G381" s="25">
        <v>78.31</v>
      </c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43"/>
      <c r="T381" s="43"/>
      <c r="U381" s="43"/>
      <c r="V381" s="43"/>
      <c r="W381" s="116"/>
      <c r="X381" s="43"/>
      <c r="Y381" s="43"/>
      <c r="Z381" s="43"/>
      <c r="AA381" s="43"/>
      <c r="AB381" s="126"/>
      <c r="AC381" s="101"/>
      <c r="AD381" s="101"/>
      <c r="AE381" s="101"/>
      <c r="AF381" s="101"/>
      <c r="AG381" s="101"/>
      <c r="AH381" s="101"/>
      <c r="AI381" s="101"/>
      <c r="AJ381" s="101"/>
      <c r="AK381" s="101"/>
      <c r="AO381" s="25"/>
      <c r="AP381" s="25"/>
      <c r="AQ381" s="25"/>
    </row>
    <row r="382" spans="1:43" x14ac:dyDescent="0.25">
      <c r="B382"/>
      <c r="C382"/>
      <c r="D382">
        <f t="shared" si="126"/>
        <v>367</v>
      </c>
      <c r="E382" t="s">
        <v>696</v>
      </c>
      <c r="F382" t="s">
        <v>697</v>
      </c>
      <c r="G382" s="20">
        <v>3.26</v>
      </c>
    </row>
    <row r="383" spans="1:43" x14ac:dyDescent="0.25">
      <c r="A383"/>
      <c r="B383"/>
      <c r="C383"/>
      <c r="D383">
        <f t="shared" si="126"/>
        <v>368</v>
      </c>
      <c r="E383" t="s">
        <v>698</v>
      </c>
      <c r="F383" t="s">
        <v>699</v>
      </c>
      <c r="G383" s="3">
        <v>6.85</v>
      </c>
    </row>
    <row r="384" spans="1:43" x14ac:dyDescent="0.25">
      <c r="B384"/>
      <c r="C384"/>
      <c r="D384">
        <f t="shared" si="126"/>
        <v>369</v>
      </c>
      <c r="E384" t="s">
        <v>818</v>
      </c>
      <c r="F384" t="s">
        <v>819</v>
      </c>
      <c r="G384" s="3">
        <v>2.61</v>
      </c>
    </row>
    <row r="385" spans="1:43" x14ac:dyDescent="0.25">
      <c r="A385"/>
      <c r="B385"/>
      <c r="C385"/>
      <c r="D385">
        <f t="shared" si="126"/>
        <v>370</v>
      </c>
      <c r="E385" t="s">
        <v>822</v>
      </c>
      <c r="F385" t="s">
        <v>823</v>
      </c>
      <c r="G385" s="3">
        <v>2.94</v>
      </c>
    </row>
    <row r="386" spans="1:43" x14ac:dyDescent="0.25">
      <c r="B386"/>
      <c r="C386"/>
      <c r="D386">
        <f t="shared" si="126"/>
        <v>371</v>
      </c>
      <c r="E386" s="5" t="s">
        <v>824</v>
      </c>
      <c r="F386" t="s">
        <v>825</v>
      </c>
      <c r="G386" s="3">
        <v>11.01</v>
      </c>
      <c r="H386" s="6">
        <f>G386*L386</f>
        <v>945.69111234000002</v>
      </c>
      <c r="I386" s="6">
        <f>[166]Main!$I$5-[166]Main!$I$6</f>
        <v>101.164</v>
      </c>
      <c r="J386" s="6">
        <f>H386-I386</f>
        <v>844.52711234000003</v>
      </c>
      <c r="K386" s="9" t="s">
        <v>1611</v>
      </c>
      <c r="L386" s="6">
        <f>[166]Main!$I$3</f>
        <v>85.893833999999998</v>
      </c>
      <c r="M386" s="9">
        <v>45622</v>
      </c>
    </row>
    <row r="387" spans="1:43" x14ac:dyDescent="0.25">
      <c r="A387" s="1" t="s">
        <v>330</v>
      </c>
      <c r="D387">
        <f t="shared" si="126"/>
        <v>372</v>
      </c>
      <c r="E387" s="5" t="s">
        <v>516</v>
      </c>
      <c r="F387" t="s">
        <v>1293</v>
      </c>
      <c r="G387" s="7">
        <v>9.67</v>
      </c>
      <c r="H387" s="6">
        <f>+G387*L387</f>
        <v>841.72522735999996</v>
      </c>
      <c r="I387" s="6">
        <f>+[167]Main!$K$5-[167]Main!$K$6</f>
        <v>267.89999999999998</v>
      </c>
      <c r="J387" s="6">
        <f>+H387-I387</f>
        <v>573.82522735999999</v>
      </c>
      <c r="K387" s="3" t="s">
        <v>1990</v>
      </c>
      <c r="L387" s="6">
        <f>+[167]Main!$K$3</f>
        <v>87.045007999999996</v>
      </c>
      <c r="M387" s="9">
        <v>45881</v>
      </c>
    </row>
    <row r="388" spans="1:43" s="33" customFormat="1" ht="13" x14ac:dyDescent="0.3">
      <c r="D388" s="33">
        <f t="shared" si="126"/>
        <v>373</v>
      </c>
      <c r="E388" s="105" t="s">
        <v>826</v>
      </c>
      <c r="F388" s="105" t="s">
        <v>827</v>
      </c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60"/>
      <c r="T388" s="60"/>
      <c r="U388" s="60"/>
      <c r="V388" s="60"/>
      <c r="W388" s="117"/>
      <c r="X388" s="60"/>
      <c r="Y388" s="60"/>
      <c r="Z388" s="60"/>
      <c r="AA388" s="60"/>
      <c r="AB388" s="127"/>
      <c r="AC388" s="106"/>
      <c r="AD388" s="106"/>
      <c r="AE388" s="106"/>
      <c r="AF388" s="106"/>
      <c r="AG388" s="106"/>
      <c r="AH388" s="106"/>
      <c r="AI388" s="106"/>
      <c r="AJ388" s="106"/>
      <c r="AK388" s="106"/>
      <c r="AO388" s="58"/>
      <c r="AP388" s="58"/>
      <c r="AQ388" s="58"/>
    </row>
    <row r="389" spans="1:43" x14ac:dyDescent="0.25">
      <c r="A389" s="1" t="s">
        <v>330</v>
      </c>
      <c r="B389"/>
      <c r="C389"/>
      <c r="D389">
        <f>+D388+1</f>
        <v>374</v>
      </c>
      <c r="E389" s="5" t="s">
        <v>828</v>
      </c>
      <c r="F389" t="s">
        <v>829</v>
      </c>
      <c r="G389" s="3">
        <v>1.06</v>
      </c>
      <c r="H389" s="3">
        <v>184</v>
      </c>
    </row>
    <row r="390" spans="1:43" x14ac:dyDescent="0.25">
      <c r="A390"/>
      <c r="B390"/>
      <c r="C390"/>
      <c r="D390">
        <f t="shared" si="126"/>
        <v>375</v>
      </c>
      <c r="E390" t="s">
        <v>830</v>
      </c>
      <c r="F390" t="s">
        <v>831</v>
      </c>
      <c r="G390" s="3">
        <v>10.67</v>
      </c>
      <c r="H390" s="3">
        <v>114</v>
      </c>
    </row>
    <row r="391" spans="1:43" x14ac:dyDescent="0.25">
      <c r="A391"/>
      <c r="B391"/>
      <c r="C391"/>
      <c r="D391">
        <f t="shared" si="126"/>
        <v>376</v>
      </c>
      <c r="E391" t="s">
        <v>2212</v>
      </c>
      <c r="F391"/>
    </row>
    <row r="392" spans="1:43" x14ac:dyDescent="0.25">
      <c r="A392"/>
      <c r="B392"/>
      <c r="C392"/>
      <c r="D392">
        <f t="shared" si="126"/>
        <v>377</v>
      </c>
      <c r="E392" t="s">
        <v>2213</v>
      </c>
      <c r="F392"/>
    </row>
    <row r="393" spans="1:43" x14ac:dyDescent="0.25">
      <c r="A393"/>
      <c r="B393"/>
      <c r="C393"/>
      <c r="D393">
        <f t="shared" si="126"/>
        <v>378</v>
      </c>
      <c r="E393" t="s">
        <v>2214</v>
      </c>
      <c r="F393"/>
    </row>
    <row r="394" spans="1:43" x14ac:dyDescent="0.25">
      <c r="B394"/>
      <c r="C394"/>
      <c r="D394">
        <f>+D390+1</f>
        <v>376</v>
      </c>
      <c r="E394" t="s">
        <v>1931</v>
      </c>
      <c r="F394" t="s">
        <v>1932</v>
      </c>
      <c r="G394" s="7">
        <v>1</v>
      </c>
    </row>
    <row r="395" spans="1:43" x14ac:dyDescent="0.25">
      <c r="B395"/>
      <c r="C395"/>
      <c r="D395">
        <f t="shared" si="126"/>
        <v>377</v>
      </c>
      <c r="E395" t="s">
        <v>832</v>
      </c>
      <c r="F395" t="s">
        <v>833</v>
      </c>
      <c r="G395" s="3">
        <v>8.18</v>
      </c>
      <c r="H395" s="3">
        <v>363</v>
      </c>
    </row>
    <row r="396" spans="1:43" s="33" customFormat="1" ht="13" x14ac:dyDescent="0.3">
      <c r="D396" s="33">
        <f t="shared" si="126"/>
        <v>378</v>
      </c>
      <c r="E396" s="105" t="s">
        <v>834</v>
      </c>
      <c r="F396" s="105" t="s">
        <v>835</v>
      </c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60"/>
      <c r="T396" s="60"/>
      <c r="U396" s="60"/>
      <c r="V396" s="60"/>
      <c r="W396" s="117"/>
      <c r="X396" s="60"/>
      <c r="Y396" s="60"/>
      <c r="Z396" s="60"/>
      <c r="AA396" s="60"/>
      <c r="AB396" s="127"/>
      <c r="AC396" s="106"/>
      <c r="AD396" s="106"/>
      <c r="AE396" s="106"/>
      <c r="AF396" s="106"/>
      <c r="AG396" s="106"/>
      <c r="AH396" s="106"/>
      <c r="AI396" s="106"/>
      <c r="AJ396" s="106"/>
      <c r="AK396" s="106"/>
      <c r="AO396" s="58"/>
      <c r="AP396" s="58"/>
      <c r="AQ396" s="58"/>
    </row>
    <row r="397" spans="1:43" s="33" customFormat="1" ht="13" x14ac:dyDescent="0.3">
      <c r="D397" s="33">
        <f t="shared" si="126"/>
        <v>379</v>
      </c>
      <c r="E397" s="105" t="s">
        <v>836</v>
      </c>
      <c r="F397" s="105" t="s">
        <v>837</v>
      </c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60"/>
      <c r="T397" s="60"/>
      <c r="U397" s="60"/>
      <c r="V397" s="60"/>
      <c r="W397" s="117"/>
      <c r="X397" s="60"/>
      <c r="Y397" s="60"/>
      <c r="Z397" s="60"/>
      <c r="AA397" s="60"/>
      <c r="AB397" s="127"/>
      <c r="AC397" s="106"/>
      <c r="AD397" s="106"/>
      <c r="AE397" s="106"/>
      <c r="AF397" s="106"/>
      <c r="AG397" s="106"/>
      <c r="AH397" s="106"/>
      <c r="AI397" s="106"/>
      <c r="AJ397" s="106"/>
      <c r="AK397" s="106"/>
      <c r="AO397" s="58"/>
      <c r="AP397" s="58"/>
      <c r="AQ397" s="58"/>
    </row>
    <row r="398" spans="1:43" x14ac:dyDescent="0.25">
      <c r="A398"/>
      <c r="B398"/>
      <c r="C398"/>
      <c r="D398">
        <f t="shared" si="126"/>
        <v>380</v>
      </c>
      <c r="E398" t="s">
        <v>1294</v>
      </c>
      <c r="F398" t="s">
        <v>1295</v>
      </c>
      <c r="G398" s="7">
        <v>0.69</v>
      </c>
      <c r="H398" s="3">
        <v>164</v>
      </c>
    </row>
    <row r="399" spans="1:43" x14ac:dyDescent="0.25">
      <c r="B399"/>
      <c r="C399"/>
      <c r="D399">
        <f t="shared" si="126"/>
        <v>381</v>
      </c>
      <c r="E399" t="s">
        <v>1963</v>
      </c>
      <c r="F399" t="s">
        <v>1964</v>
      </c>
      <c r="G399" s="7">
        <v>1.46</v>
      </c>
    </row>
    <row r="400" spans="1:43" x14ac:dyDescent="0.25">
      <c r="B400"/>
      <c r="C400"/>
      <c r="D400">
        <f t="shared" si="126"/>
        <v>382</v>
      </c>
      <c r="E400" t="s">
        <v>838</v>
      </c>
      <c r="F400" t="s">
        <v>839</v>
      </c>
      <c r="G400" s="7">
        <v>1.6</v>
      </c>
      <c r="H400" s="3">
        <v>120</v>
      </c>
    </row>
    <row r="401" spans="1:43" x14ac:dyDescent="0.25">
      <c r="B401"/>
      <c r="C401"/>
      <c r="D401">
        <f t="shared" si="126"/>
        <v>383</v>
      </c>
      <c r="E401" t="s">
        <v>840</v>
      </c>
      <c r="F401" t="s">
        <v>841</v>
      </c>
      <c r="G401" s="3">
        <v>1.56</v>
      </c>
      <c r="H401" s="3">
        <v>107</v>
      </c>
    </row>
    <row r="402" spans="1:43" x14ac:dyDescent="0.25">
      <c r="A402"/>
      <c r="B402"/>
      <c r="C402"/>
      <c r="D402">
        <f t="shared" si="126"/>
        <v>384</v>
      </c>
      <c r="E402" s="5" t="s">
        <v>846</v>
      </c>
      <c r="F402" t="s">
        <v>847</v>
      </c>
      <c r="G402" s="3">
        <v>0.25</v>
      </c>
    </row>
    <row r="403" spans="1:43" x14ac:dyDescent="0.25">
      <c r="A403" t="s">
        <v>330</v>
      </c>
      <c r="B403"/>
      <c r="C403"/>
      <c r="D403">
        <f t="shared" si="126"/>
        <v>385</v>
      </c>
      <c r="E403" s="5" t="s">
        <v>848</v>
      </c>
      <c r="F403" t="s">
        <v>849</v>
      </c>
      <c r="G403" s="3">
        <v>17.79</v>
      </c>
    </row>
    <row r="404" spans="1:43" x14ac:dyDescent="0.25">
      <c r="A404"/>
      <c r="B404"/>
      <c r="C404"/>
      <c r="D404">
        <f t="shared" si="126"/>
        <v>386</v>
      </c>
      <c r="E404" t="s">
        <v>850</v>
      </c>
      <c r="F404" t="s">
        <v>851</v>
      </c>
      <c r="G404" s="7">
        <v>20.5</v>
      </c>
    </row>
    <row r="405" spans="1:43" x14ac:dyDescent="0.25">
      <c r="A405" t="s">
        <v>330</v>
      </c>
      <c r="B405"/>
      <c r="C405"/>
      <c r="D405">
        <f t="shared" si="126"/>
        <v>387</v>
      </c>
      <c r="E405" s="5" t="s">
        <v>852</v>
      </c>
      <c r="F405" t="s">
        <v>853</v>
      </c>
      <c r="G405" s="3">
        <v>30.46</v>
      </c>
      <c r="H405" s="6">
        <f>+G405*L405</f>
        <v>852.78749298000002</v>
      </c>
      <c r="I405" s="6">
        <f>+[168]Main!$K$5-[168]Main!$K$6</f>
        <v>293.70600000000002</v>
      </c>
      <c r="J405" s="6">
        <f>+H405-I405</f>
        <v>559.08149298000001</v>
      </c>
      <c r="K405" s="3" t="s">
        <v>1990</v>
      </c>
      <c r="L405" s="6">
        <f>+[168]Main!$K$3</f>
        <v>27.996963000000001</v>
      </c>
      <c r="M405" s="9">
        <v>45936</v>
      </c>
    </row>
    <row r="406" spans="1:43" x14ac:dyDescent="0.25">
      <c r="A406"/>
      <c r="B406"/>
      <c r="C406"/>
      <c r="D406">
        <f t="shared" si="126"/>
        <v>388</v>
      </c>
      <c r="E406" s="5" t="s">
        <v>854</v>
      </c>
      <c r="F406" t="s">
        <v>855</v>
      </c>
      <c r="G406" s="3">
        <v>0.92</v>
      </c>
      <c r="H406" s="6">
        <f>+G406*L406</f>
        <v>105.99633444000001</v>
      </c>
      <c r="I406" s="6">
        <f>+[169]Main!$J$5-[169]Main!$J$6</f>
        <v>316.5809999999999</v>
      </c>
      <c r="J406" s="6">
        <f>+H406-I406</f>
        <v>-210.58466555999991</v>
      </c>
      <c r="K406" s="3" t="s">
        <v>1272</v>
      </c>
      <c r="L406" s="6">
        <f>+[169]Main!$J$3</f>
        <v>115.213407</v>
      </c>
      <c r="M406" s="9">
        <v>45631</v>
      </c>
    </row>
    <row r="407" spans="1:43" s="33" customFormat="1" ht="13" x14ac:dyDescent="0.3">
      <c r="D407" s="33">
        <f t="shared" si="126"/>
        <v>389</v>
      </c>
      <c r="E407" s="33" t="s">
        <v>858</v>
      </c>
      <c r="F407" s="33" t="s">
        <v>859</v>
      </c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60"/>
      <c r="T407" s="60"/>
      <c r="U407" s="60"/>
      <c r="V407" s="60"/>
      <c r="W407" s="117"/>
      <c r="X407" s="60"/>
      <c r="Y407" s="60"/>
      <c r="Z407" s="60"/>
      <c r="AA407" s="60"/>
      <c r="AB407" s="127"/>
      <c r="AC407" s="106"/>
      <c r="AD407" s="106"/>
      <c r="AE407" s="106"/>
      <c r="AF407" s="106"/>
      <c r="AG407" s="106"/>
      <c r="AH407" s="106"/>
      <c r="AI407" s="106"/>
      <c r="AJ407" s="106"/>
      <c r="AK407" s="106"/>
      <c r="AO407" s="58"/>
      <c r="AP407" s="58"/>
      <c r="AQ407" s="58"/>
    </row>
    <row r="408" spans="1:43" x14ac:dyDescent="0.25">
      <c r="A408"/>
      <c r="B408"/>
      <c r="C408"/>
      <c r="D408">
        <f t="shared" si="126"/>
        <v>390</v>
      </c>
      <c r="E408" t="s">
        <v>1929</v>
      </c>
      <c r="F408" t="s">
        <v>1930</v>
      </c>
      <c r="G408" s="3">
        <v>12.09</v>
      </c>
    </row>
    <row r="409" spans="1:43" x14ac:dyDescent="0.25">
      <c r="A409"/>
      <c r="B409"/>
      <c r="C409"/>
      <c r="D409">
        <f t="shared" si="126"/>
        <v>391</v>
      </c>
      <c r="E409" t="s">
        <v>860</v>
      </c>
      <c r="F409" t="s">
        <v>861</v>
      </c>
      <c r="G409" s="3">
        <v>15.18</v>
      </c>
    </row>
    <row r="410" spans="1:43" x14ac:dyDescent="0.25">
      <c r="A410" t="s">
        <v>330</v>
      </c>
      <c r="B410"/>
      <c r="C410"/>
      <c r="D410">
        <f t="shared" si="126"/>
        <v>392</v>
      </c>
      <c r="E410" t="s">
        <v>862</v>
      </c>
      <c r="F410" t="s">
        <v>863</v>
      </c>
      <c r="G410" s="3">
        <v>2.37</v>
      </c>
    </row>
    <row r="411" spans="1:43" x14ac:dyDescent="0.25">
      <c r="A411"/>
      <c r="B411"/>
      <c r="C411"/>
      <c r="D411">
        <f t="shared" si="126"/>
        <v>393</v>
      </c>
      <c r="E411" t="s">
        <v>2215</v>
      </c>
      <c r="F411"/>
    </row>
    <row r="412" spans="1:43" x14ac:dyDescent="0.25">
      <c r="A412"/>
      <c r="B412"/>
      <c r="C412"/>
      <c r="D412">
        <f>+D410+1</f>
        <v>393</v>
      </c>
      <c r="E412" t="s">
        <v>868</v>
      </c>
      <c r="F412" t="s">
        <v>869</v>
      </c>
      <c r="G412" s="7">
        <v>1.79</v>
      </c>
    </row>
    <row r="413" spans="1:43" x14ac:dyDescent="0.25">
      <c r="A413" t="s">
        <v>330</v>
      </c>
      <c r="B413"/>
      <c r="C413"/>
      <c r="D413">
        <f>+D412+1</f>
        <v>394</v>
      </c>
      <c r="E413" s="5" t="s">
        <v>906</v>
      </c>
      <c r="F413" t="s">
        <v>907</v>
      </c>
      <c r="G413" s="7">
        <v>3.36</v>
      </c>
      <c r="H413" s="6">
        <f>+G413*L413</f>
        <v>636.69206159999999</v>
      </c>
      <c r="I413" s="6">
        <f>+[170]Main!$L$5-[170]Main!$L$6</f>
        <v>130.75800000000001</v>
      </c>
      <c r="J413" s="6">
        <f>+H413-I413</f>
        <v>505.93406159999995</v>
      </c>
      <c r="K413" s="3" t="s">
        <v>1272</v>
      </c>
      <c r="L413" s="6">
        <f>+[170]Main!$L$3</f>
        <v>189.49168499999999</v>
      </c>
      <c r="M413" s="9">
        <v>45712</v>
      </c>
    </row>
    <row r="414" spans="1:43" x14ac:dyDescent="0.25">
      <c r="A414"/>
      <c r="B414"/>
      <c r="C414"/>
      <c r="D414">
        <f t="shared" si="126"/>
        <v>395</v>
      </c>
      <c r="E414" s="5" t="s">
        <v>1815</v>
      </c>
      <c r="F414" t="s">
        <v>1816</v>
      </c>
      <c r="G414" s="7">
        <v>6.5</v>
      </c>
      <c r="H414" s="6"/>
      <c r="I414" s="6"/>
      <c r="J414" s="6">
        <f>+H414-I414</f>
        <v>0</v>
      </c>
      <c r="K414" s="3" t="s">
        <v>1839</v>
      </c>
      <c r="L414" s="6" t="str">
        <f>+[171]Main!$K$3</f>
        <v>Q325</v>
      </c>
      <c r="M414" s="9">
        <v>45845</v>
      </c>
    </row>
    <row r="415" spans="1:43" x14ac:dyDescent="0.25">
      <c r="A415"/>
      <c r="B415"/>
      <c r="C415"/>
      <c r="D415">
        <f t="shared" si="126"/>
        <v>396</v>
      </c>
      <c r="E415" t="s">
        <v>896</v>
      </c>
      <c r="F415" t="s">
        <v>897</v>
      </c>
      <c r="G415" s="3">
        <v>3.74</v>
      </c>
      <c r="H415" s="3">
        <v>404</v>
      </c>
    </row>
    <row r="416" spans="1:43" x14ac:dyDescent="0.25">
      <c r="A416"/>
      <c r="B416"/>
      <c r="C416"/>
      <c r="D416">
        <f t="shared" si="126"/>
        <v>397</v>
      </c>
      <c r="E416" t="s">
        <v>1825</v>
      </c>
      <c r="F416" t="s">
        <v>1826</v>
      </c>
      <c r="G416" s="7">
        <v>22.09</v>
      </c>
      <c r="H416" s="3">
        <v>365</v>
      </c>
    </row>
    <row r="417" spans="1:13" x14ac:dyDescent="0.25">
      <c r="A417" t="s">
        <v>330</v>
      </c>
      <c r="B417"/>
      <c r="C417"/>
      <c r="D417">
        <f t="shared" si="126"/>
        <v>398</v>
      </c>
      <c r="E417" t="s">
        <v>892</v>
      </c>
      <c r="F417" t="s">
        <v>893</v>
      </c>
      <c r="G417" s="7">
        <v>22.81</v>
      </c>
      <c r="H417" s="3">
        <v>300</v>
      </c>
    </row>
    <row r="418" spans="1:13" x14ac:dyDescent="0.25">
      <c r="A418" t="s">
        <v>330</v>
      </c>
      <c r="B418"/>
      <c r="C418"/>
      <c r="D418">
        <f t="shared" si="126"/>
        <v>399</v>
      </c>
      <c r="E418" t="s">
        <v>884</v>
      </c>
      <c r="F418" t="s">
        <v>885</v>
      </c>
      <c r="G418" s="7">
        <v>8.5</v>
      </c>
      <c r="H418" s="3">
        <v>327</v>
      </c>
    </row>
    <row r="419" spans="1:13" x14ac:dyDescent="0.25">
      <c r="A419"/>
      <c r="B419"/>
      <c r="C419"/>
      <c r="D419">
        <f t="shared" si="126"/>
        <v>400</v>
      </c>
      <c r="E419" t="s">
        <v>2194</v>
      </c>
      <c r="F419"/>
      <c r="G419" s="7"/>
    </row>
    <row r="420" spans="1:13" x14ac:dyDescent="0.25">
      <c r="A420"/>
      <c r="B420"/>
      <c r="C420"/>
      <c r="D420">
        <f t="shared" si="126"/>
        <v>401</v>
      </c>
      <c r="E420" t="s">
        <v>902</v>
      </c>
      <c r="F420" t="s">
        <v>903</v>
      </c>
      <c r="G420" s="7">
        <v>27</v>
      </c>
      <c r="H420" s="3">
        <v>245</v>
      </c>
    </row>
    <row r="421" spans="1:13" x14ac:dyDescent="0.25">
      <c r="A421"/>
      <c r="B421"/>
      <c r="C421"/>
      <c r="D421">
        <f t="shared" ref="D421:D482" si="127">+D420+1</f>
        <v>402</v>
      </c>
      <c r="E421" s="5" t="s">
        <v>1827</v>
      </c>
      <c r="F421" t="s">
        <v>1828</v>
      </c>
      <c r="G421" s="7">
        <v>4.59</v>
      </c>
      <c r="H421" s="6">
        <f>+G421*L421</f>
        <v>425.36967587999999</v>
      </c>
      <c r="I421" s="6">
        <f>+[172]Sheet1!$K$5-[172]Sheet1!$K$6</f>
        <v>134.916</v>
      </c>
      <c r="J421" s="6">
        <f>+H421-I421</f>
        <v>290.45367587999999</v>
      </c>
      <c r="K421" s="3" t="s">
        <v>1273</v>
      </c>
      <c r="L421" s="6">
        <f>[172]Sheet1!$K$3</f>
        <v>92.673131999999995</v>
      </c>
      <c r="M421" s="9">
        <v>45762</v>
      </c>
    </row>
    <row r="422" spans="1:13" x14ac:dyDescent="0.25">
      <c r="A422"/>
      <c r="B422"/>
      <c r="C422"/>
      <c r="D422">
        <f t="shared" si="127"/>
        <v>403</v>
      </c>
      <c r="E422" s="5" t="s">
        <v>890</v>
      </c>
      <c r="F422" t="s">
        <v>891</v>
      </c>
      <c r="G422" s="7">
        <v>3.78</v>
      </c>
      <c r="H422" s="6">
        <f>+G422*L422</f>
        <v>402.91168175999996</v>
      </c>
      <c r="I422" s="6">
        <f>+[173]Main!$J$5-[173]Main!$J$6</f>
        <v>204.524</v>
      </c>
      <c r="J422" s="6">
        <f>+H422-I422</f>
        <v>198.38768175999996</v>
      </c>
      <c r="K422" s="3" t="s">
        <v>1990</v>
      </c>
      <c r="L422" s="6">
        <f>+[173]Main!$J$3</f>
        <v>106.59039199999999</v>
      </c>
      <c r="M422" s="9">
        <v>45898</v>
      </c>
    </row>
    <row r="423" spans="1:13" x14ac:dyDescent="0.25">
      <c r="A423" t="s">
        <v>330</v>
      </c>
      <c r="B423"/>
      <c r="C423"/>
      <c r="D423">
        <f t="shared" si="127"/>
        <v>404</v>
      </c>
      <c r="E423" t="s">
        <v>908</v>
      </c>
      <c r="F423" t="s">
        <v>909</v>
      </c>
      <c r="G423" s="3">
        <v>4.88</v>
      </c>
    </row>
    <row r="424" spans="1:13" x14ac:dyDescent="0.25">
      <c r="A424"/>
      <c r="B424"/>
      <c r="C424"/>
      <c r="D424">
        <f t="shared" si="127"/>
        <v>405</v>
      </c>
      <c r="E424" t="s">
        <v>910</v>
      </c>
      <c r="F424" t="s">
        <v>911</v>
      </c>
      <c r="G424" s="3">
        <v>5.13</v>
      </c>
    </row>
    <row r="425" spans="1:13" x14ac:dyDescent="0.25">
      <c r="A425"/>
      <c r="B425"/>
      <c r="C425"/>
      <c r="D425">
        <f t="shared" si="127"/>
        <v>406</v>
      </c>
      <c r="E425" t="s">
        <v>1922</v>
      </c>
      <c r="F425" t="s">
        <v>1923</v>
      </c>
      <c r="G425" s="3">
        <v>4.22</v>
      </c>
    </row>
    <row r="426" spans="1:13" x14ac:dyDescent="0.25">
      <c r="A426" t="s">
        <v>330</v>
      </c>
      <c r="B426"/>
      <c r="C426"/>
      <c r="D426">
        <f t="shared" si="127"/>
        <v>407</v>
      </c>
      <c r="E426" t="s">
        <v>914</v>
      </c>
      <c r="F426" t="s">
        <v>915</v>
      </c>
      <c r="G426" s="3">
        <v>7.34</v>
      </c>
    </row>
    <row r="427" spans="1:13" x14ac:dyDescent="0.25">
      <c r="A427" t="s">
        <v>330</v>
      </c>
      <c r="B427"/>
      <c r="C427"/>
      <c r="D427">
        <f t="shared" si="127"/>
        <v>408</v>
      </c>
      <c r="E427" t="s">
        <v>924</v>
      </c>
      <c r="F427" t="s">
        <v>925</v>
      </c>
      <c r="G427" s="7">
        <v>2.6</v>
      </c>
    </row>
    <row r="428" spans="1:13" x14ac:dyDescent="0.25">
      <c r="A428" t="s">
        <v>330</v>
      </c>
      <c r="B428"/>
      <c r="C428"/>
      <c r="D428">
        <f t="shared" si="127"/>
        <v>409</v>
      </c>
      <c r="E428" t="s">
        <v>926</v>
      </c>
      <c r="F428" t="s">
        <v>929</v>
      </c>
      <c r="G428" s="3">
        <v>9.81</v>
      </c>
    </row>
    <row r="429" spans="1:13" x14ac:dyDescent="0.25">
      <c r="A429" t="s">
        <v>330</v>
      </c>
      <c r="B429"/>
      <c r="C429"/>
      <c r="D429">
        <f t="shared" si="127"/>
        <v>410</v>
      </c>
      <c r="E429" t="s">
        <v>2209</v>
      </c>
      <c r="F429" t="s">
        <v>2210</v>
      </c>
    </row>
    <row r="430" spans="1:13" x14ac:dyDescent="0.25">
      <c r="A430"/>
      <c r="B430"/>
      <c r="C430"/>
      <c r="D430">
        <f t="shared" si="127"/>
        <v>411</v>
      </c>
      <c r="E430" t="s">
        <v>1947</v>
      </c>
      <c r="F430" t="s">
        <v>1950</v>
      </c>
      <c r="G430" s="3">
        <v>4.46</v>
      </c>
    </row>
    <row r="431" spans="1:13" x14ac:dyDescent="0.25">
      <c r="A431"/>
      <c r="B431"/>
      <c r="C431"/>
      <c r="D431">
        <f t="shared" si="127"/>
        <v>412</v>
      </c>
      <c r="E431" t="s">
        <v>1948</v>
      </c>
      <c r="F431" t="s">
        <v>1949</v>
      </c>
      <c r="G431" s="3">
        <v>2.54</v>
      </c>
    </row>
    <row r="432" spans="1:13" x14ac:dyDescent="0.25">
      <c r="A432"/>
      <c r="B432"/>
      <c r="C432"/>
      <c r="D432">
        <f t="shared" si="127"/>
        <v>413</v>
      </c>
      <c r="E432" t="s">
        <v>927</v>
      </c>
      <c r="F432" t="s">
        <v>928</v>
      </c>
      <c r="G432" s="3">
        <v>0.54</v>
      </c>
    </row>
    <row r="433" spans="1:13" x14ac:dyDescent="0.25">
      <c r="A433"/>
      <c r="B433"/>
      <c r="C433"/>
      <c r="D433">
        <f t="shared" si="127"/>
        <v>414</v>
      </c>
      <c r="E433" t="s">
        <v>944</v>
      </c>
      <c r="F433" t="s">
        <v>945</v>
      </c>
      <c r="G433" s="3">
        <v>12.06</v>
      </c>
    </row>
    <row r="434" spans="1:13" x14ac:dyDescent="0.25">
      <c r="A434"/>
      <c r="B434"/>
      <c r="C434"/>
      <c r="D434">
        <f t="shared" si="127"/>
        <v>415</v>
      </c>
      <c r="E434" t="s">
        <v>1897</v>
      </c>
      <c r="F434" t="s">
        <v>1898</v>
      </c>
      <c r="G434" s="3">
        <v>9.06</v>
      </c>
    </row>
    <row r="435" spans="1:13" x14ac:dyDescent="0.25">
      <c r="A435"/>
      <c r="B435"/>
      <c r="C435"/>
      <c r="D435">
        <f t="shared" si="127"/>
        <v>416</v>
      </c>
      <c r="E435" t="s">
        <v>950</v>
      </c>
      <c r="F435" t="s">
        <v>951</v>
      </c>
      <c r="G435" s="7">
        <v>1.5</v>
      </c>
    </row>
    <row r="436" spans="1:13" x14ac:dyDescent="0.25">
      <c r="A436"/>
      <c r="B436"/>
      <c r="C436"/>
      <c r="D436">
        <f t="shared" si="127"/>
        <v>417</v>
      </c>
      <c r="E436" t="s">
        <v>1870</v>
      </c>
      <c r="F436" t="s">
        <v>1871</v>
      </c>
      <c r="G436" s="3">
        <v>16.350000000000001</v>
      </c>
    </row>
    <row r="437" spans="1:13" x14ac:dyDescent="0.25">
      <c r="A437"/>
      <c r="B437"/>
      <c r="C437"/>
      <c r="D437">
        <f t="shared" si="127"/>
        <v>418</v>
      </c>
      <c r="E437" t="s">
        <v>960</v>
      </c>
      <c r="F437" t="s">
        <v>961</v>
      </c>
      <c r="G437" s="7">
        <v>6.7</v>
      </c>
    </row>
    <row r="438" spans="1:13" x14ac:dyDescent="0.25">
      <c r="A438"/>
      <c r="B438"/>
      <c r="C438"/>
      <c r="D438">
        <f t="shared" si="127"/>
        <v>419</v>
      </c>
      <c r="E438" t="s">
        <v>962</v>
      </c>
      <c r="F438" t="s">
        <v>963</v>
      </c>
      <c r="G438" s="3">
        <v>2.25</v>
      </c>
    </row>
    <row r="439" spans="1:13" x14ac:dyDescent="0.25">
      <c r="A439"/>
      <c r="B439"/>
      <c r="C439"/>
      <c r="D439">
        <f t="shared" si="127"/>
        <v>420</v>
      </c>
      <c r="E439" t="s">
        <v>964</v>
      </c>
      <c r="F439" t="s">
        <v>965</v>
      </c>
      <c r="G439" s="3">
        <v>2.06</v>
      </c>
    </row>
    <row r="440" spans="1:13" x14ac:dyDescent="0.25">
      <c r="A440"/>
      <c r="B440"/>
      <c r="C440"/>
      <c r="D440">
        <f t="shared" si="127"/>
        <v>421</v>
      </c>
      <c r="E440" t="s">
        <v>966</v>
      </c>
      <c r="F440" t="s">
        <v>967</v>
      </c>
      <c r="G440" s="3">
        <v>11.21</v>
      </c>
    </row>
    <row r="441" spans="1:13" x14ac:dyDescent="0.25">
      <c r="A441"/>
      <c r="B441"/>
      <c r="C441"/>
      <c r="D441">
        <f t="shared" si="127"/>
        <v>422</v>
      </c>
      <c r="E441" t="s">
        <v>1901</v>
      </c>
      <c r="F441" t="s">
        <v>1902</v>
      </c>
      <c r="G441" s="3">
        <v>14.16</v>
      </c>
    </row>
    <row r="442" spans="1:13" x14ac:dyDescent="0.25">
      <c r="A442" t="s">
        <v>330</v>
      </c>
      <c r="B442"/>
      <c r="C442"/>
      <c r="D442">
        <f t="shared" si="127"/>
        <v>423</v>
      </c>
      <c r="E442" t="s">
        <v>1909</v>
      </c>
      <c r="F442" t="s">
        <v>1910</v>
      </c>
      <c r="G442" s="3">
        <v>21.45</v>
      </c>
    </row>
    <row r="443" spans="1:13" x14ac:dyDescent="0.25">
      <c r="A443"/>
      <c r="B443"/>
      <c r="C443"/>
      <c r="D443">
        <f t="shared" si="127"/>
        <v>424</v>
      </c>
      <c r="E443" t="s">
        <v>1827</v>
      </c>
      <c r="F443" t="s">
        <v>1911</v>
      </c>
      <c r="G443" s="7">
        <v>2.9</v>
      </c>
    </row>
    <row r="444" spans="1:13" x14ac:dyDescent="0.25">
      <c r="A444"/>
      <c r="D444">
        <f t="shared" si="127"/>
        <v>425</v>
      </c>
      <c r="E444" s="5" t="s">
        <v>1785</v>
      </c>
      <c r="F444" s="1" t="s">
        <v>1786</v>
      </c>
      <c r="G444" s="7">
        <v>21.73</v>
      </c>
      <c r="H444" s="6">
        <f>+G444*L444</f>
        <v>320.57593197</v>
      </c>
      <c r="I444" s="6">
        <f>+[174]Main!$M$5-[174]Main!$M$6</f>
        <v>159.095</v>
      </c>
      <c r="J444" s="6">
        <f>+H444-I444</f>
        <v>161.48093197</v>
      </c>
      <c r="K444" s="3" t="s">
        <v>1272</v>
      </c>
      <c r="L444" s="6">
        <f>+[174]Main!$M$3</f>
        <v>14.752689</v>
      </c>
      <c r="M444" s="9">
        <v>45687</v>
      </c>
    </row>
    <row r="445" spans="1:13" x14ac:dyDescent="0.25">
      <c r="A445"/>
      <c r="B445" s="1">
        <v>6</v>
      </c>
      <c r="C445" s="1">
        <v>2</v>
      </c>
      <c r="D445">
        <f t="shared" si="127"/>
        <v>426</v>
      </c>
      <c r="E445" s="5" t="s">
        <v>1631</v>
      </c>
      <c r="F445" t="s">
        <v>1630</v>
      </c>
      <c r="G445" s="3">
        <v>36.130000000000003</v>
      </c>
      <c r="H445" s="6">
        <f>+G445*L445</f>
        <v>221.26326330999999</v>
      </c>
      <c r="I445" s="6">
        <f>+[175]Main!$L$5-[175]Main!$L$6</f>
        <v>40.720092000000001</v>
      </c>
      <c r="J445" s="6">
        <f>+H445-I445</f>
        <v>180.54317130999999</v>
      </c>
      <c r="K445" s="3" t="s">
        <v>1066</v>
      </c>
      <c r="L445" s="6">
        <f>+[175]Main!$L$3</f>
        <v>6.1240869999999994</v>
      </c>
      <c r="M445" s="9">
        <v>45630</v>
      </c>
    </row>
    <row r="446" spans="1:13" x14ac:dyDescent="0.25">
      <c r="A446"/>
      <c r="D446">
        <f t="shared" si="127"/>
        <v>427</v>
      </c>
      <c r="E446" s="5" t="s">
        <v>1619</v>
      </c>
      <c r="F446" t="s">
        <v>1618</v>
      </c>
      <c r="G446" s="7">
        <v>5.88</v>
      </c>
      <c r="H446" s="6">
        <f>+G446*L446</f>
        <v>574.07028000000003</v>
      </c>
      <c r="I446" s="6">
        <f>+[176]Main!$M$5-[176]Main!$M$6</f>
        <v>195.3</v>
      </c>
      <c r="J446" s="6">
        <f>+H446-I446</f>
        <v>378.77028000000001</v>
      </c>
      <c r="K446" s="3" t="s">
        <v>1272</v>
      </c>
      <c r="L446" s="6">
        <f>+[176]Main!$M$3</f>
        <v>97.631</v>
      </c>
      <c r="M446" s="9">
        <v>45629</v>
      </c>
    </row>
    <row r="447" spans="1:13" x14ac:dyDescent="0.25">
      <c r="A447"/>
      <c r="D447">
        <f t="shared" si="127"/>
        <v>428</v>
      </c>
      <c r="E447" s="5" t="s">
        <v>1636</v>
      </c>
      <c r="F447" t="s">
        <v>1637</v>
      </c>
      <c r="G447" s="7">
        <v>6.31</v>
      </c>
      <c r="H447" s="6">
        <f>+G447*L447</f>
        <v>204.92063847</v>
      </c>
      <c r="I447" s="6">
        <f>+[177]Main!$M$5-[177]Main!$M$6</f>
        <v>1.9079999999999977</v>
      </c>
      <c r="J447" s="6">
        <f>+H447-I447</f>
        <v>203.01263847000001</v>
      </c>
      <c r="K447" s="3" t="s">
        <v>1272</v>
      </c>
      <c r="L447" s="6">
        <f>+[177]Main!$M$3</f>
        <v>32.475537000000003</v>
      </c>
      <c r="M447" s="9">
        <v>45630</v>
      </c>
    </row>
    <row r="448" spans="1:13" x14ac:dyDescent="0.25">
      <c r="A448"/>
      <c r="D448">
        <f t="shared" si="127"/>
        <v>429</v>
      </c>
      <c r="E448" s="5" t="s">
        <v>1607</v>
      </c>
      <c r="F448" t="s">
        <v>1608</v>
      </c>
      <c r="G448" s="3">
        <v>0.83</v>
      </c>
      <c r="H448" s="6">
        <f t="shared" ref="H448:H450" si="128">+G448*L448</f>
        <v>107.21110332000001</v>
      </c>
      <c r="I448" s="6">
        <f>+[178]Main!$L$5-[178]Main!$L$6</f>
        <v>65.116</v>
      </c>
      <c r="J448" s="6">
        <f t="shared" ref="J448:J450" si="129">+H448-I448</f>
        <v>42.095103320000007</v>
      </c>
      <c r="K448" s="3" t="s">
        <v>1839</v>
      </c>
      <c r="L448" s="6">
        <f>+[178]Main!$L$3</f>
        <v>129.17000400000001</v>
      </c>
      <c r="M448" s="9">
        <v>45810</v>
      </c>
    </row>
    <row r="449" spans="1:43" x14ac:dyDescent="0.25">
      <c r="A449"/>
      <c r="D449">
        <f t="shared" si="127"/>
        <v>430</v>
      </c>
      <c r="E449" s="5" t="s">
        <v>1091</v>
      </c>
      <c r="F449" t="s">
        <v>1092</v>
      </c>
      <c r="G449" s="7">
        <v>6.49</v>
      </c>
      <c r="H449" s="6">
        <f t="shared" si="128"/>
        <v>281.11043653000002</v>
      </c>
      <c r="I449" s="6">
        <f>+[179]Main!$J$5-[179]Main!$J$6</f>
        <v>104.35299999999999</v>
      </c>
      <c r="J449" s="6">
        <f t="shared" si="129"/>
        <v>176.75743653000001</v>
      </c>
      <c r="K449" s="3" t="s">
        <v>1066</v>
      </c>
      <c r="L449" s="6">
        <f>+[179]Main!$J$3</f>
        <v>43.314397</v>
      </c>
      <c r="M449" s="9">
        <v>45525</v>
      </c>
    </row>
    <row r="450" spans="1:43" x14ac:dyDescent="0.25">
      <c r="D450">
        <f t="shared" si="127"/>
        <v>431</v>
      </c>
      <c r="E450" s="5" t="s">
        <v>1429</v>
      </c>
      <c r="F450" s="1" t="s">
        <v>1430</v>
      </c>
      <c r="G450" s="3">
        <v>44.74</v>
      </c>
      <c r="H450" s="6">
        <f t="shared" si="128"/>
        <v>984.46607366000012</v>
      </c>
      <c r="I450" s="6">
        <f>+[180]Main!$P$5-[180]Main!$P$6</f>
        <v>-4.3319999999999999</v>
      </c>
      <c r="J450" s="6">
        <f t="shared" si="129"/>
        <v>988.79807366000011</v>
      </c>
      <c r="K450" s="3" t="s">
        <v>1066</v>
      </c>
      <c r="L450" s="6">
        <f>+[180]Main!$P$3</f>
        <v>22.004159000000001</v>
      </c>
      <c r="M450" s="9">
        <v>45587</v>
      </c>
    </row>
    <row r="451" spans="1:43" x14ac:dyDescent="0.25">
      <c r="D451">
        <f t="shared" si="127"/>
        <v>432</v>
      </c>
      <c r="E451" s="5" t="s">
        <v>1626</v>
      </c>
      <c r="F451" s="1" t="s">
        <v>1627</v>
      </c>
      <c r="G451" s="7">
        <v>3.5</v>
      </c>
      <c r="H451" s="6">
        <f>+G451*L451</f>
        <v>190.866389</v>
      </c>
      <c r="I451" s="6">
        <f>+[181]Main!$L$5-[181]Main!$L$6</f>
        <v>371.02100000000002</v>
      </c>
      <c r="J451" s="6">
        <f>+H451-I451</f>
        <v>-180.15461100000002</v>
      </c>
      <c r="K451" s="3" t="s">
        <v>1066</v>
      </c>
      <c r="L451" s="6">
        <f>+[181]Main!$L$3</f>
        <v>54.533253999999999</v>
      </c>
      <c r="M451" s="9">
        <v>45629</v>
      </c>
    </row>
    <row r="452" spans="1:43" x14ac:dyDescent="0.25">
      <c r="D452">
        <f t="shared" si="127"/>
        <v>433</v>
      </c>
      <c r="E452" t="s">
        <v>1957</v>
      </c>
      <c r="F452" t="s">
        <v>1958</v>
      </c>
      <c r="G452" s="3">
        <v>8.68</v>
      </c>
    </row>
    <row r="453" spans="1:43" x14ac:dyDescent="0.25">
      <c r="D453">
        <f t="shared" si="127"/>
        <v>434</v>
      </c>
      <c r="E453" s="5" t="s">
        <v>1434</v>
      </c>
      <c r="F453" s="1" t="s">
        <v>1435</v>
      </c>
      <c r="G453" s="7">
        <v>100</v>
      </c>
      <c r="H453" s="6">
        <f>+G453*L453</f>
        <v>616.9</v>
      </c>
      <c r="I453" s="6">
        <f>+[182]Main!$L$5-[182]Main!$L$6</f>
        <v>53.3</v>
      </c>
      <c r="J453" s="6">
        <f>+H453-I453</f>
        <v>563.6</v>
      </c>
      <c r="K453" s="3" t="s">
        <v>1990</v>
      </c>
      <c r="L453" s="6">
        <f>+[182]Main!$L$3</f>
        <v>6.1689999999999996</v>
      </c>
      <c r="M453" s="9">
        <v>45936</v>
      </c>
    </row>
    <row r="454" spans="1:43" x14ac:dyDescent="0.25">
      <c r="D454">
        <f t="shared" si="127"/>
        <v>435</v>
      </c>
      <c r="E454" s="1" t="s">
        <v>1634</v>
      </c>
      <c r="F454" t="s">
        <v>1635</v>
      </c>
      <c r="G454" s="3">
        <v>29.33</v>
      </c>
    </row>
    <row r="455" spans="1:43" x14ac:dyDescent="0.25">
      <c r="D455">
        <f t="shared" si="127"/>
        <v>436</v>
      </c>
      <c r="E455" t="s">
        <v>1888</v>
      </c>
      <c r="F455" t="s">
        <v>1889</v>
      </c>
      <c r="G455" s="7">
        <v>0.5</v>
      </c>
    </row>
    <row r="456" spans="1:43" x14ac:dyDescent="0.25">
      <c r="D456">
        <f t="shared" si="127"/>
        <v>437</v>
      </c>
      <c r="E456" t="s">
        <v>1924</v>
      </c>
      <c r="F456" t="s">
        <v>1925</v>
      </c>
      <c r="G456" s="3">
        <v>3.53</v>
      </c>
    </row>
    <row r="457" spans="1:43" x14ac:dyDescent="0.25">
      <c r="D457">
        <f t="shared" si="127"/>
        <v>438</v>
      </c>
      <c r="E457" t="s">
        <v>1926</v>
      </c>
      <c r="F457" t="s">
        <v>1927</v>
      </c>
      <c r="G457" s="3">
        <v>6.86</v>
      </c>
    </row>
    <row r="458" spans="1:43" s="33" customFormat="1" ht="13" x14ac:dyDescent="0.3">
      <c r="D458" s="33">
        <f t="shared" si="127"/>
        <v>439</v>
      </c>
      <c r="E458" s="33" t="s">
        <v>1640</v>
      </c>
      <c r="F458" s="33" t="s">
        <v>1641</v>
      </c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60"/>
      <c r="T458" s="60"/>
      <c r="U458" s="60"/>
      <c r="V458" s="60"/>
      <c r="W458" s="117"/>
      <c r="X458" s="60"/>
      <c r="Y458" s="60"/>
      <c r="Z458" s="60"/>
      <c r="AA458" s="60"/>
      <c r="AB458" s="127"/>
      <c r="AC458" s="106"/>
      <c r="AD458" s="106"/>
      <c r="AE458" s="106"/>
      <c r="AF458" s="106"/>
      <c r="AG458" s="106"/>
      <c r="AH458" s="106"/>
      <c r="AI458" s="106"/>
      <c r="AJ458" s="106"/>
      <c r="AK458" s="106"/>
      <c r="AO458" s="58"/>
      <c r="AP458" s="58"/>
      <c r="AQ458" s="58"/>
    </row>
    <row r="459" spans="1:43" x14ac:dyDescent="0.25">
      <c r="A459" s="1" t="s">
        <v>330</v>
      </c>
      <c r="D459">
        <f t="shared" si="127"/>
        <v>440</v>
      </c>
      <c r="E459" s="1" t="s">
        <v>1642</v>
      </c>
      <c r="F459" t="s">
        <v>1643</v>
      </c>
      <c r="G459" s="3">
        <v>3.94</v>
      </c>
    </row>
    <row r="460" spans="1:43" x14ac:dyDescent="0.25">
      <c r="A460" s="1" t="s">
        <v>330</v>
      </c>
      <c r="B460" s="1">
        <v>7</v>
      </c>
      <c r="C460" s="1">
        <v>2</v>
      </c>
      <c r="D460">
        <f t="shared" si="127"/>
        <v>441</v>
      </c>
      <c r="E460" s="5" t="s">
        <v>1787</v>
      </c>
      <c r="F460" s="1" t="s">
        <v>1788</v>
      </c>
      <c r="G460" s="7">
        <v>13.38</v>
      </c>
      <c r="H460" s="6">
        <f>+G460*L460</f>
        <v>696.13658010000006</v>
      </c>
      <c r="I460" s="6">
        <f>+[183]Main!$L$5-[183]Main!$L$6</f>
        <v>193.8</v>
      </c>
      <c r="J460" s="6">
        <f>+H460-I460</f>
        <v>502.33658010000005</v>
      </c>
      <c r="K460" s="3" t="s">
        <v>1272</v>
      </c>
      <c r="L460" s="6">
        <f>+[183]Main!$L$3</f>
        <v>52.028145000000002</v>
      </c>
      <c r="M460" s="9">
        <v>45691</v>
      </c>
    </row>
    <row r="461" spans="1:43" x14ac:dyDescent="0.25">
      <c r="D461">
        <f t="shared" si="127"/>
        <v>442</v>
      </c>
      <c r="E461" s="1" t="s">
        <v>1650</v>
      </c>
      <c r="F461" s="1" t="s">
        <v>1651</v>
      </c>
      <c r="G461" s="3">
        <v>7.51</v>
      </c>
      <c r="H461" s="3">
        <v>648</v>
      </c>
    </row>
    <row r="462" spans="1:43" x14ac:dyDescent="0.25">
      <c r="A462" s="1" t="s">
        <v>330</v>
      </c>
      <c r="D462">
        <f t="shared" si="127"/>
        <v>443</v>
      </c>
      <c r="E462" s="5" t="s">
        <v>1652</v>
      </c>
      <c r="F462" t="s">
        <v>1653</v>
      </c>
      <c r="G462" s="7">
        <v>33</v>
      </c>
      <c r="H462" s="6">
        <f>+G462*L462</f>
        <v>1338.7751520000002</v>
      </c>
      <c r="I462" s="6">
        <f>+[184]Main!$K$5-[184]Main!$K$6</f>
        <v>235.68700000000001</v>
      </c>
      <c r="J462" s="6">
        <f>+H462-I462</f>
        <v>1103.0881520000003</v>
      </c>
      <c r="K462" s="3" t="s">
        <v>1990</v>
      </c>
      <c r="L462" s="6">
        <f>+[184]Main!$K$3</f>
        <v>40.568944000000002</v>
      </c>
    </row>
    <row r="463" spans="1:43" x14ac:dyDescent="0.25">
      <c r="D463">
        <f t="shared" si="127"/>
        <v>444</v>
      </c>
      <c r="E463" t="s">
        <v>1928</v>
      </c>
      <c r="F463" t="s">
        <v>1139</v>
      </c>
      <c r="G463" s="3">
        <v>6.43</v>
      </c>
      <c r="H463" s="3">
        <v>125</v>
      </c>
    </row>
    <row r="464" spans="1:43" x14ac:dyDescent="0.25">
      <c r="D464">
        <f t="shared" si="127"/>
        <v>445</v>
      </c>
      <c r="E464" s="1" t="s">
        <v>1107</v>
      </c>
      <c r="F464" s="1" t="s">
        <v>1688</v>
      </c>
      <c r="G464" s="3">
        <v>4.45</v>
      </c>
      <c r="H464" s="3">
        <v>242</v>
      </c>
    </row>
    <row r="465" spans="2:43" x14ac:dyDescent="0.25">
      <c r="D465">
        <f t="shared" si="127"/>
        <v>446</v>
      </c>
      <c r="E465" s="5" t="s">
        <v>1831</v>
      </c>
      <c r="F465" s="1" t="s">
        <v>1832</v>
      </c>
      <c r="G465" s="7">
        <v>3.25</v>
      </c>
      <c r="H465" s="6">
        <f>+G465*L465</f>
        <v>420.99239325000002</v>
      </c>
      <c r="I465" s="6">
        <f>[185]Main!$I$5-[185]Main!$I$6</f>
        <v>358.29200000000003</v>
      </c>
      <c r="J465" s="6">
        <f>+H465-I465</f>
        <v>62.700393249999991</v>
      </c>
      <c r="K465" s="3" t="s">
        <v>1273</v>
      </c>
      <c r="L465" s="6">
        <f>+[185]Main!$I$3</f>
        <v>129.53612100000001</v>
      </c>
      <c r="M465" s="9">
        <v>45846</v>
      </c>
    </row>
    <row r="466" spans="2:43" x14ac:dyDescent="0.25">
      <c r="D466">
        <f t="shared" si="127"/>
        <v>447</v>
      </c>
      <c r="E466" t="s">
        <v>1773</v>
      </c>
      <c r="F466" t="s">
        <v>1774</v>
      </c>
      <c r="G466" s="3">
        <v>64.010000000000005</v>
      </c>
      <c r="H466" s="3">
        <v>701</v>
      </c>
    </row>
    <row r="467" spans="2:43" x14ac:dyDescent="0.25">
      <c r="B467" s="1">
        <v>-1</v>
      </c>
      <c r="C467" s="1">
        <v>3</v>
      </c>
      <c r="D467">
        <f t="shared" si="127"/>
        <v>448</v>
      </c>
      <c r="E467" s="5" t="s">
        <v>1817</v>
      </c>
      <c r="F467" s="1" t="s">
        <v>1818</v>
      </c>
      <c r="G467" s="7">
        <v>1.89</v>
      </c>
      <c r="H467" s="6">
        <f>+G467*L467</f>
        <v>92.147802389999995</v>
      </c>
      <c r="I467" s="6">
        <f>+[186]Main!$K$5-[186]Main!$K$6</f>
        <v>41.556999999999995</v>
      </c>
      <c r="J467" s="6">
        <f>+H467-I467</f>
        <v>50.59080239</v>
      </c>
      <c r="K467" s="3" t="s">
        <v>1273</v>
      </c>
      <c r="L467" s="6">
        <f>+[186]Main!$K$3</f>
        <v>48.755451000000001</v>
      </c>
      <c r="M467" s="9">
        <v>45733</v>
      </c>
    </row>
    <row r="468" spans="2:43" x14ac:dyDescent="0.25">
      <c r="B468" s="1">
        <v>7</v>
      </c>
      <c r="C468" s="1">
        <v>3</v>
      </c>
      <c r="D468">
        <f t="shared" si="127"/>
        <v>449</v>
      </c>
      <c r="E468" s="5" t="s">
        <v>1790</v>
      </c>
      <c r="F468" t="s">
        <v>1789</v>
      </c>
      <c r="G468" s="7">
        <v>0.74</v>
      </c>
      <c r="H468" s="6">
        <f>+G468*L468</f>
        <v>88.771469299999993</v>
      </c>
      <c r="I468" s="6">
        <f>+[187]Main!$M$5-[187]Main!$M$6</f>
        <v>69.349000000000004</v>
      </c>
      <c r="J468" s="6">
        <f>+H468-I468</f>
        <v>19.422469299999989</v>
      </c>
      <c r="K468" s="3" t="s">
        <v>1272</v>
      </c>
      <c r="L468" s="6">
        <f>+[187]Main!$M$3</f>
        <v>119.961445</v>
      </c>
      <c r="M468" s="9">
        <v>45750</v>
      </c>
    </row>
    <row r="469" spans="2:43" x14ac:dyDescent="0.25">
      <c r="D469">
        <f t="shared" si="127"/>
        <v>450</v>
      </c>
      <c r="E469" s="1" t="s">
        <v>1791</v>
      </c>
      <c r="F469" t="s">
        <v>1792</v>
      </c>
      <c r="G469" s="7">
        <v>16</v>
      </c>
    </row>
    <row r="470" spans="2:43" x14ac:dyDescent="0.25">
      <c r="D470">
        <f t="shared" si="127"/>
        <v>451</v>
      </c>
      <c r="E470" t="s">
        <v>1805</v>
      </c>
      <c r="F470" s="1" t="s">
        <v>1806</v>
      </c>
      <c r="G470" s="7">
        <v>0.66</v>
      </c>
    </row>
    <row r="471" spans="2:43" x14ac:dyDescent="0.25">
      <c r="D471">
        <f t="shared" si="127"/>
        <v>452</v>
      </c>
      <c r="E471" s="1" t="s">
        <v>1807</v>
      </c>
      <c r="F471" t="s">
        <v>1810</v>
      </c>
      <c r="G471" s="3">
        <v>19.45</v>
      </c>
    </row>
    <row r="472" spans="2:43" s="33" customFormat="1" ht="13" x14ac:dyDescent="0.3">
      <c r="B472" s="33">
        <v>3</v>
      </c>
      <c r="C472" s="33">
        <v>4</v>
      </c>
      <c r="D472" s="33">
        <f t="shared" si="127"/>
        <v>453</v>
      </c>
      <c r="E472" s="57" t="s">
        <v>1829</v>
      </c>
      <c r="F472" s="33" t="s">
        <v>1830</v>
      </c>
      <c r="G472" s="58">
        <v>0.31</v>
      </c>
      <c r="H472" s="35">
        <f>+G472*L472</f>
        <v>18.356896450000001</v>
      </c>
      <c r="I472" s="35">
        <f>+[188]Sheet1!$J$5-[188]Sheet1!$J$6</f>
        <v>62.05</v>
      </c>
      <c r="J472" s="35">
        <f>+H472-I472</f>
        <v>-43.693103549999996</v>
      </c>
      <c r="K472" s="58" t="s">
        <v>1273</v>
      </c>
      <c r="L472" s="35">
        <f>+[188]Sheet1!$J$3</f>
        <v>59.215795</v>
      </c>
      <c r="M472" s="59">
        <v>45763</v>
      </c>
      <c r="N472" s="58"/>
      <c r="O472" s="58"/>
      <c r="P472" s="58"/>
      <c r="Q472" s="58"/>
      <c r="R472" s="58"/>
      <c r="S472" s="60"/>
      <c r="T472" s="60"/>
      <c r="U472" s="60"/>
      <c r="V472" s="60"/>
      <c r="W472" s="117"/>
      <c r="X472" s="60"/>
      <c r="Y472" s="60"/>
      <c r="Z472" s="60"/>
      <c r="AA472" s="60"/>
      <c r="AB472" s="127"/>
      <c r="AC472" s="106"/>
      <c r="AD472" s="106"/>
      <c r="AE472" s="106"/>
      <c r="AF472" s="106"/>
      <c r="AG472" s="106"/>
      <c r="AH472" s="106"/>
      <c r="AI472" s="106"/>
      <c r="AJ472" s="106"/>
      <c r="AK472" s="106"/>
      <c r="AO472" s="58"/>
      <c r="AP472" s="58"/>
      <c r="AQ472" s="58"/>
    </row>
    <row r="473" spans="2:43" x14ac:dyDescent="0.25">
      <c r="D473">
        <f t="shared" si="127"/>
        <v>454</v>
      </c>
      <c r="E473" s="5" t="s">
        <v>1291</v>
      </c>
      <c r="F473" t="s">
        <v>1292</v>
      </c>
      <c r="G473" s="7">
        <v>1.67</v>
      </c>
      <c r="H473" s="6">
        <f>+G473*[189]Main!$K$3</f>
        <v>265.50328000000002</v>
      </c>
      <c r="I473" s="6">
        <f>+[189]Main!$K$5-[189]Main!$K$6</f>
        <v>371.63900000000001</v>
      </c>
      <c r="J473" s="6">
        <f>+H473-I473</f>
        <v>-106.13571999999999</v>
      </c>
      <c r="K473" s="3" t="s">
        <v>1066</v>
      </c>
      <c r="L473" s="6">
        <f>+[189]Main!$K$3</f>
        <v>158.98400000000001</v>
      </c>
      <c r="M473" s="9">
        <v>45600</v>
      </c>
    </row>
    <row r="474" spans="2:43" x14ac:dyDescent="0.25">
      <c r="D474">
        <f t="shared" si="127"/>
        <v>455</v>
      </c>
      <c r="E474" t="s">
        <v>1808</v>
      </c>
      <c r="F474" t="s">
        <v>1809</v>
      </c>
      <c r="G474" s="3">
        <v>1.31</v>
      </c>
    </row>
    <row r="475" spans="2:43" x14ac:dyDescent="0.25">
      <c r="D475">
        <f t="shared" si="127"/>
        <v>456</v>
      </c>
      <c r="E475" s="1" t="s">
        <v>1835</v>
      </c>
      <c r="F475" s="1" t="s">
        <v>1836</v>
      </c>
      <c r="G475" s="3">
        <v>5.17</v>
      </c>
    </row>
    <row r="476" spans="2:43" x14ac:dyDescent="0.25">
      <c r="D476">
        <f t="shared" si="127"/>
        <v>457</v>
      </c>
      <c r="E476" t="s">
        <v>1837</v>
      </c>
      <c r="F476" t="s">
        <v>1838</v>
      </c>
      <c r="G476" s="3">
        <v>2.92</v>
      </c>
    </row>
    <row r="477" spans="2:43" customFormat="1" x14ac:dyDescent="0.25">
      <c r="D477">
        <f t="shared" si="127"/>
        <v>458</v>
      </c>
      <c r="E477" s="5" t="s">
        <v>769</v>
      </c>
      <c r="F477" t="s">
        <v>770</v>
      </c>
      <c r="G477" s="52">
        <v>2.46</v>
      </c>
      <c r="H477" s="29">
        <f>+G477*L477</f>
        <v>118.02136836</v>
      </c>
      <c r="I477" s="29">
        <f>+[190]Main!$J$5-[190]Main!$J$6</f>
        <v>149</v>
      </c>
      <c r="J477" s="29">
        <f>+H477-I477</f>
        <v>-30.978631640000003</v>
      </c>
      <c r="K477" s="27" t="s">
        <v>1272</v>
      </c>
      <c r="L477" s="29">
        <f>+[190]Main!$J$3</f>
        <v>47.976165999999999</v>
      </c>
      <c r="M477" s="36">
        <v>45628</v>
      </c>
      <c r="N477" s="27"/>
      <c r="O477" s="27"/>
      <c r="P477" s="27"/>
      <c r="Q477" s="27"/>
      <c r="R477" s="27"/>
      <c r="S477" s="56"/>
      <c r="T477" s="56"/>
      <c r="U477" s="56"/>
      <c r="V477" s="56"/>
      <c r="W477" s="118"/>
      <c r="X477" s="56"/>
      <c r="Y477" s="56"/>
      <c r="Z477" s="56"/>
      <c r="AA477" s="56"/>
      <c r="AB477" s="128"/>
      <c r="AC477" s="102"/>
      <c r="AD477" s="102"/>
      <c r="AE477" s="102"/>
      <c r="AF477" s="102"/>
      <c r="AG477" s="102"/>
      <c r="AH477" s="102"/>
      <c r="AI477" s="102"/>
      <c r="AJ477" s="102"/>
      <c r="AK477" s="102"/>
      <c r="AO477" s="27"/>
      <c r="AP477" s="27"/>
      <c r="AQ477" s="27"/>
    </row>
    <row r="478" spans="2:43" x14ac:dyDescent="0.25">
      <c r="D478">
        <f t="shared" si="127"/>
        <v>459</v>
      </c>
      <c r="E478" s="1" t="s">
        <v>1654</v>
      </c>
      <c r="F478" s="1" t="s">
        <v>1655</v>
      </c>
      <c r="G478" s="3">
        <v>0.37</v>
      </c>
    </row>
    <row r="479" spans="2:43" x14ac:dyDescent="0.25">
      <c r="D479">
        <f t="shared" si="127"/>
        <v>460</v>
      </c>
      <c r="E479" t="s">
        <v>1660</v>
      </c>
      <c r="F479" t="s">
        <v>1661</v>
      </c>
      <c r="G479" s="3">
        <v>0.39</v>
      </c>
    </row>
    <row r="480" spans="2:43" x14ac:dyDescent="0.25">
      <c r="D480">
        <f t="shared" si="127"/>
        <v>461</v>
      </c>
      <c r="E480" s="1" t="s">
        <v>1663</v>
      </c>
      <c r="F480" s="1" t="s">
        <v>1662</v>
      </c>
      <c r="G480" s="3">
        <v>1.31</v>
      </c>
    </row>
    <row r="481" spans="1:43" x14ac:dyDescent="0.25">
      <c r="A481" s="1" t="s">
        <v>330</v>
      </c>
      <c r="D481">
        <f t="shared" si="127"/>
        <v>462</v>
      </c>
      <c r="E481" t="s">
        <v>1668</v>
      </c>
      <c r="F481" t="s">
        <v>1669</v>
      </c>
      <c r="G481" s="3">
        <v>9.9499999999999993</v>
      </c>
    </row>
    <row r="482" spans="1:43" s="24" customFormat="1" ht="13" x14ac:dyDescent="0.3">
      <c r="D482" s="24">
        <f t="shared" si="127"/>
        <v>463</v>
      </c>
      <c r="E482" s="41" t="s">
        <v>1991</v>
      </c>
      <c r="F482" s="24" t="s">
        <v>1992</v>
      </c>
      <c r="G482" s="45">
        <v>60</v>
      </c>
      <c r="H482" s="26">
        <f>+G482*L482</f>
        <v>82.320000000000007</v>
      </c>
      <c r="I482" s="26">
        <f>+[191]Main!$J$5-[191]Main!$J$6</f>
        <v>48.905999999999999</v>
      </c>
      <c r="J482" s="26">
        <f>+H482-I482</f>
        <v>33.414000000000009</v>
      </c>
      <c r="K482" s="25" t="s">
        <v>2004</v>
      </c>
      <c r="L482" s="26">
        <f>+[191]Main!$J$3</f>
        <v>1.3720000000000001</v>
      </c>
      <c r="M482" s="42">
        <v>46101</v>
      </c>
      <c r="N482" s="25"/>
      <c r="O482" s="25"/>
      <c r="P482" s="25"/>
      <c r="Q482" s="25"/>
      <c r="R482" s="25"/>
      <c r="S482" s="43"/>
      <c r="T482" s="43"/>
      <c r="U482" s="43"/>
      <c r="V482" s="43"/>
      <c r="W482" s="116"/>
      <c r="X482" s="43"/>
      <c r="Y482" s="43"/>
      <c r="Z482" s="43"/>
      <c r="AA482" s="43"/>
      <c r="AB482" s="126"/>
      <c r="AC482" s="101"/>
      <c r="AD482" s="101"/>
      <c r="AE482" s="101"/>
      <c r="AF482" s="101"/>
      <c r="AG482" s="101"/>
      <c r="AH482" s="101"/>
      <c r="AI482" s="101"/>
      <c r="AJ482" s="101"/>
      <c r="AK482" s="101"/>
      <c r="AO482" s="25"/>
      <c r="AP482" s="25"/>
      <c r="AQ482" s="25"/>
    </row>
    <row r="483" spans="1:43" x14ac:dyDescent="0.25">
      <c r="D483">
        <f t="shared" ref="D483:D547" si="130">+D482+1</f>
        <v>464</v>
      </c>
      <c r="E483" t="s">
        <v>1648</v>
      </c>
      <c r="F483" t="s">
        <v>1649</v>
      </c>
      <c r="G483" s="3">
        <v>1.01</v>
      </c>
    </row>
    <row r="484" spans="1:43" x14ac:dyDescent="0.25">
      <c r="D484">
        <f t="shared" si="130"/>
        <v>465</v>
      </c>
      <c r="E484" t="s">
        <v>1497</v>
      </c>
      <c r="F484" s="1" t="s">
        <v>1988</v>
      </c>
      <c r="G484" s="3">
        <v>0.98</v>
      </c>
    </row>
    <row r="485" spans="1:43" x14ac:dyDescent="0.25">
      <c r="D485">
        <f t="shared" si="130"/>
        <v>466</v>
      </c>
      <c r="E485" s="5" t="s">
        <v>1613</v>
      </c>
      <c r="F485" s="1" t="s">
        <v>1612</v>
      </c>
      <c r="G485" s="3">
        <v>4.76</v>
      </c>
      <c r="H485" s="6">
        <f>+G485*L485</f>
        <v>298.746287</v>
      </c>
      <c r="I485" s="6">
        <f>+[192]Main!$K$5-[192]Main!$K$6</f>
        <v>-77.494</v>
      </c>
      <c r="J485" s="6">
        <f>+H485-I485</f>
        <v>376.24028699999997</v>
      </c>
      <c r="K485" s="3" t="s">
        <v>1272</v>
      </c>
      <c r="L485" s="6">
        <f>+[192]Main!$K$3</f>
        <v>62.761825000000002</v>
      </c>
      <c r="M485" s="9">
        <v>45628</v>
      </c>
    </row>
    <row r="486" spans="1:43" x14ac:dyDescent="0.25">
      <c r="D486">
        <f t="shared" si="130"/>
        <v>467</v>
      </c>
      <c r="E486" s="38" t="s">
        <v>1122</v>
      </c>
      <c r="F486" s="1" t="s">
        <v>1123</v>
      </c>
      <c r="G486" s="7">
        <v>11.12</v>
      </c>
      <c r="H486" s="6">
        <f>+G486*L486</f>
        <v>311.35468463999996</v>
      </c>
      <c r="I486" s="6">
        <f>+[193]Main!$K$5-[193]Main!$K$6</f>
        <v>15.414999999999999</v>
      </c>
      <c r="J486" s="6">
        <f>+H486-I486</f>
        <v>295.93968463999994</v>
      </c>
      <c r="K486" s="3" t="s">
        <v>1066</v>
      </c>
      <c r="L486" s="6">
        <f>+[193]Main!$K$3</f>
        <v>27.999521999999999</v>
      </c>
      <c r="M486" s="9">
        <v>45474</v>
      </c>
    </row>
    <row r="487" spans="1:43" x14ac:dyDescent="0.25">
      <c r="A487" s="1" t="s">
        <v>330</v>
      </c>
      <c r="D487">
        <f t="shared" si="130"/>
        <v>468</v>
      </c>
      <c r="E487" s="5" t="s">
        <v>1664</v>
      </c>
      <c r="F487" t="s">
        <v>1665</v>
      </c>
      <c r="G487" s="7">
        <v>15.34</v>
      </c>
      <c r="H487" s="6">
        <f>+G487*L487</f>
        <v>574.08288678000008</v>
      </c>
      <c r="I487" s="6">
        <f>+[194]Main!$K$5-[194]Main!$K$6</f>
        <v>117.976</v>
      </c>
      <c r="J487" s="6">
        <f>+H487-I487</f>
        <v>456.10688678000008</v>
      </c>
      <c r="K487" s="3" t="s">
        <v>2007</v>
      </c>
      <c r="L487" s="6">
        <f>+[194]Main!$K$3</f>
        <v>37.423917000000003</v>
      </c>
      <c r="M487" s="9">
        <v>46202</v>
      </c>
    </row>
    <row r="488" spans="1:43" x14ac:dyDescent="0.25">
      <c r="D488">
        <f t="shared" si="130"/>
        <v>469</v>
      </c>
      <c r="E488" s="5" t="s">
        <v>1603</v>
      </c>
      <c r="F488" t="s">
        <v>1604</v>
      </c>
      <c r="G488" s="7">
        <v>16.21</v>
      </c>
      <c r="H488" s="6">
        <f>+G488*L488</f>
        <v>274.85676000000001</v>
      </c>
      <c r="I488" s="6">
        <f>+[195]Main!$K$5-[195]Main!$K$6</f>
        <v>50.750999999999998</v>
      </c>
      <c r="J488" s="6">
        <f>+H488-I488</f>
        <v>224.10576</v>
      </c>
      <c r="K488" s="3" t="s">
        <v>1272</v>
      </c>
      <c r="L488" s="6">
        <f>+[195]Main!$K$3</f>
        <v>16.956</v>
      </c>
      <c r="M488" s="9">
        <v>45608</v>
      </c>
    </row>
    <row r="489" spans="1:43" x14ac:dyDescent="0.25">
      <c r="D489">
        <f t="shared" si="130"/>
        <v>470</v>
      </c>
      <c r="E489" s="1" t="s">
        <v>1609</v>
      </c>
      <c r="F489" t="s">
        <v>1610</v>
      </c>
      <c r="G489" s="3">
        <v>3.35</v>
      </c>
    </row>
    <row r="490" spans="1:43" x14ac:dyDescent="0.25">
      <c r="A490" s="1" t="s">
        <v>330</v>
      </c>
      <c r="D490">
        <f t="shared" si="130"/>
        <v>471</v>
      </c>
      <c r="E490" s="1" t="s">
        <v>2081</v>
      </c>
      <c r="F490" t="s">
        <v>2082</v>
      </c>
    </row>
    <row r="491" spans="1:43" x14ac:dyDescent="0.25">
      <c r="D491">
        <f t="shared" si="130"/>
        <v>472</v>
      </c>
      <c r="E491" t="s">
        <v>1614</v>
      </c>
      <c r="F491" s="1" t="s">
        <v>1615</v>
      </c>
      <c r="G491" s="3">
        <v>2.68</v>
      </c>
    </row>
    <row r="492" spans="1:43" x14ac:dyDescent="0.25">
      <c r="D492">
        <f t="shared" si="130"/>
        <v>473</v>
      </c>
      <c r="E492" t="s">
        <v>1616</v>
      </c>
      <c r="F492" t="s">
        <v>1617</v>
      </c>
      <c r="G492" s="3">
        <v>1.74</v>
      </c>
    </row>
    <row r="493" spans="1:43" x14ac:dyDescent="0.25">
      <c r="D493">
        <f t="shared" si="130"/>
        <v>474</v>
      </c>
      <c r="E493" t="s">
        <v>1624</v>
      </c>
      <c r="F493" t="s">
        <v>1625</v>
      </c>
      <c r="G493" s="3">
        <v>0.72</v>
      </c>
    </row>
    <row r="494" spans="1:43" x14ac:dyDescent="0.25">
      <c r="D494">
        <f>+D493+1</f>
        <v>475</v>
      </c>
      <c r="E494" t="s">
        <v>1298</v>
      </c>
      <c r="F494" t="s">
        <v>1299</v>
      </c>
      <c r="G494" s="3">
        <v>0.85</v>
      </c>
    </row>
    <row r="495" spans="1:43" x14ac:dyDescent="0.25">
      <c r="D495">
        <f t="shared" si="130"/>
        <v>476</v>
      </c>
      <c r="E495" t="s">
        <v>2076</v>
      </c>
      <c r="F495" t="s">
        <v>2077</v>
      </c>
    </row>
    <row r="496" spans="1:43" x14ac:dyDescent="0.25">
      <c r="D496">
        <f t="shared" si="130"/>
        <v>477</v>
      </c>
      <c r="E496" s="1" t="s">
        <v>1349</v>
      </c>
      <c r="F496" s="1" t="s">
        <v>1989</v>
      </c>
      <c r="G496" s="3">
        <v>1.25</v>
      </c>
    </row>
    <row r="497" spans="1:43" x14ac:dyDescent="0.25">
      <c r="D497">
        <f t="shared" si="130"/>
        <v>478</v>
      </c>
      <c r="E497" s="1" t="s">
        <v>1185</v>
      </c>
      <c r="F497" s="1" t="s">
        <v>1186</v>
      </c>
      <c r="G497" s="3">
        <v>2.16</v>
      </c>
    </row>
    <row r="498" spans="1:43" x14ac:dyDescent="0.25">
      <c r="D498">
        <f t="shared" si="130"/>
        <v>479</v>
      </c>
      <c r="E498" s="1" t="s">
        <v>1267</v>
      </c>
      <c r="F498" t="s">
        <v>1268</v>
      </c>
      <c r="G498" s="7">
        <v>11</v>
      </c>
    </row>
    <row r="499" spans="1:43" s="33" customFormat="1" ht="13" x14ac:dyDescent="0.3">
      <c r="D499" s="33">
        <f t="shared" si="130"/>
        <v>480</v>
      </c>
      <c r="E499" s="33" t="s">
        <v>1296</v>
      </c>
      <c r="F499" s="33" t="s">
        <v>1297</v>
      </c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60"/>
      <c r="T499" s="60"/>
      <c r="U499" s="60"/>
      <c r="V499" s="60"/>
      <c r="W499" s="117"/>
      <c r="X499" s="60"/>
      <c r="Y499" s="60"/>
      <c r="Z499" s="60"/>
      <c r="AA499" s="60"/>
      <c r="AB499" s="127"/>
      <c r="AC499" s="106"/>
      <c r="AD499" s="106"/>
      <c r="AE499" s="106"/>
      <c r="AF499" s="106"/>
      <c r="AG499" s="106"/>
      <c r="AH499" s="106"/>
      <c r="AI499" s="106"/>
      <c r="AJ499" s="106"/>
      <c r="AK499" s="106"/>
      <c r="AO499" s="58"/>
      <c r="AP499" s="58"/>
      <c r="AQ499" s="58"/>
    </row>
    <row r="500" spans="1:43" x14ac:dyDescent="0.25">
      <c r="D500">
        <f t="shared" si="130"/>
        <v>481</v>
      </c>
      <c r="E500" s="38" t="s">
        <v>1623</v>
      </c>
      <c r="F500" t="s">
        <v>1622</v>
      </c>
      <c r="G500" s="7">
        <v>1.54</v>
      </c>
      <c r="H500" s="6">
        <f t="shared" ref="H500:H505" si="131">+G500*L500</f>
        <v>75.270832560000002</v>
      </c>
      <c r="I500" s="6">
        <f>+[196]Main!$K$5-[196]Main!$K$6</f>
        <v>183.012</v>
      </c>
      <c r="J500" s="6">
        <f t="shared" ref="J500:J505" si="132">+H500-I500</f>
        <v>-107.74116744</v>
      </c>
      <c r="K500" s="3" t="s">
        <v>1272</v>
      </c>
      <c r="L500" s="6">
        <f>+[196]Main!$K$3</f>
        <v>48.877164</v>
      </c>
      <c r="M500" s="9">
        <v>45629</v>
      </c>
    </row>
    <row r="501" spans="1:43" x14ac:dyDescent="0.25">
      <c r="D501">
        <f t="shared" si="130"/>
        <v>482</v>
      </c>
      <c r="E501" s="5" t="s">
        <v>1155</v>
      </c>
      <c r="F501" t="s">
        <v>1156</v>
      </c>
      <c r="G501" s="7">
        <v>1.1499999999999999</v>
      </c>
      <c r="H501" s="6">
        <f t="shared" si="131"/>
        <v>42.342781499999994</v>
      </c>
      <c r="I501" s="6">
        <f>+[197]Main!$L$5-[197]Main!$L$6</f>
        <v>33.507724000000003</v>
      </c>
      <c r="J501" s="6">
        <f t="shared" si="132"/>
        <v>8.8350574999999907</v>
      </c>
      <c r="K501" s="3" t="s">
        <v>1066</v>
      </c>
      <c r="L501" s="6">
        <f>+[197]Main!$L$3</f>
        <v>36.819809999999997</v>
      </c>
      <c r="M501" s="9">
        <v>45567</v>
      </c>
    </row>
    <row r="502" spans="1:43" x14ac:dyDescent="0.25">
      <c r="D502">
        <f t="shared" si="130"/>
        <v>483</v>
      </c>
      <c r="E502" s="5" t="s">
        <v>1605</v>
      </c>
      <c r="F502" t="s">
        <v>1606</v>
      </c>
      <c r="G502" s="7">
        <v>3.02</v>
      </c>
      <c r="H502" s="6">
        <f t="shared" si="131"/>
        <v>73.353770560000001</v>
      </c>
      <c r="I502" s="6">
        <f>+[198]Main!$K$5-[198]Main!$K$6</f>
        <v>199.59700000000001</v>
      </c>
      <c r="J502" s="6">
        <f t="shared" si="132"/>
        <v>-126.24322944000001</v>
      </c>
      <c r="K502" s="3" t="s">
        <v>1272</v>
      </c>
      <c r="L502" s="6">
        <f>+[198]Main!$K$3</f>
        <v>24.289328000000001</v>
      </c>
      <c r="M502" s="9">
        <v>45608</v>
      </c>
    </row>
    <row r="503" spans="1:43" x14ac:dyDescent="0.25">
      <c r="D503">
        <f t="shared" si="130"/>
        <v>484</v>
      </c>
      <c r="E503" s="5" t="s">
        <v>1621</v>
      </c>
      <c r="F503" t="s">
        <v>1620</v>
      </c>
      <c r="G503" s="3">
        <v>0.32</v>
      </c>
      <c r="H503" s="6">
        <f t="shared" si="131"/>
        <v>12.26172704</v>
      </c>
      <c r="I503" s="6">
        <f>+[199]Main!$K$5-[199]Main!$K$6</f>
        <v>62.823</v>
      </c>
      <c r="J503" s="6">
        <f t="shared" si="132"/>
        <v>-50.561272959999997</v>
      </c>
      <c r="K503" s="3" t="s">
        <v>1272</v>
      </c>
      <c r="L503" s="6">
        <f>+[199]Main!$K$3</f>
        <v>38.317897000000002</v>
      </c>
      <c r="M503" s="9">
        <v>45629</v>
      </c>
    </row>
    <row r="504" spans="1:43" x14ac:dyDescent="0.25">
      <c r="D504">
        <f t="shared" si="130"/>
        <v>485</v>
      </c>
      <c r="E504" s="5" t="s">
        <v>1638</v>
      </c>
      <c r="F504" t="s">
        <v>1639</v>
      </c>
      <c r="G504" s="7">
        <v>0.46</v>
      </c>
      <c r="H504" s="6">
        <f t="shared" si="131"/>
        <v>15.382951539999999</v>
      </c>
      <c r="I504" s="6">
        <f>+[200]Main!$K$5-[200]Main!$K$6</f>
        <v>5.4758170000000002</v>
      </c>
      <c r="J504" s="6">
        <f t="shared" si="132"/>
        <v>9.9071345399999977</v>
      </c>
      <c r="K504" s="3" t="s">
        <v>1272</v>
      </c>
      <c r="L504" s="6">
        <f>+[200]Main!$K$3</f>
        <v>33.441198999999997</v>
      </c>
      <c r="M504" s="9">
        <v>45630</v>
      </c>
    </row>
    <row r="505" spans="1:43" x14ac:dyDescent="0.25">
      <c r="D505">
        <f t="shared" si="130"/>
        <v>486</v>
      </c>
      <c r="E505" s="5" t="s">
        <v>1659</v>
      </c>
      <c r="F505" t="s">
        <v>1658</v>
      </c>
      <c r="G505" s="3">
        <v>0.99</v>
      </c>
      <c r="H505" s="6">
        <f t="shared" si="131"/>
        <v>100.25985420000001</v>
      </c>
      <c r="I505" s="6">
        <f>+[201]Main!$L$5-[201]Main!$L$6</f>
        <v>59.1</v>
      </c>
      <c r="J505" s="6">
        <f t="shared" si="132"/>
        <v>41.159854200000005</v>
      </c>
      <c r="K505" s="3" t="s">
        <v>1272</v>
      </c>
      <c r="L505" s="6">
        <f>+[201]Main!$L$3</f>
        <v>101.27258</v>
      </c>
      <c r="M505" s="9">
        <v>45656</v>
      </c>
    </row>
    <row r="506" spans="1:43" x14ac:dyDescent="0.25">
      <c r="D506">
        <f t="shared" si="130"/>
        <v>487</v>
      </c>
      <c r="E506" s="5" t="s">
        <v>1629</v>
      </c>
      <c r="F506" s="1" t="s">
        <v>1628</v>
      </c>
      <c r="G506" s="3">
        <v>5.91</v>
      </c>
      <c r="H506" s="6">
        <f>+G506*L506</f>
        <v>61.49742105</v>
      </c>
      <c r="I506" s="6">
        <f>+[202]Main!$L$5-[202]Main!$L$6</f>
        <v>54.908999999999999</v>
      </c>
      <c r="J506" s="6">
        <f>+H506-I506</f>
        <v>6.5884210500000009</v>
      </c>
      <c r="K506" s="3" t="s">
        <v>2007</v>
      </c>
      <c r="L506" s="6">
        <f>[202]Main!$L$3</f>
        <v>10.405654999999999</v>
      </c>
      <c r="M506" s="9">
        <v>46219</v>
      </c>
    </row>
    <row r="507" spans="1:43" x14ac:dyDescent="0.25">
      <c r="A507"/>
      <c r="B507"/>
      <c r="C507"/>
      <c r="D507">
        <f t="shared" si="130"/>
        <v>488</v>
      </c>
      <c r="E507" t="s">
        <v>968</v>
      </c>
      <c r="F507" t="s">
        <v>969</v>
      </c>
      <c r="G507" s="3">
        <v>3.01</v>
      </c>
    </row>
    <row r="508" spans="1:43" x14ac:dyDescent="0.25">
      <c r="D508">
        <f t="shared" si="130"/>
        <v>489</v>
      </c>
      <c r="E508" s="1" t="s">
        <v>1089</v>
      </c>
      <c r="F508" s="1" t="s">
        <v>1090</v>
      </c>
      <c r="G508" s="3">
        <v>6.32</v>
      </c>
      <c r="H508" s="3">
        <v>91</v>
      </c>
    </row>
    <row r="509" spans="1:43" x14ac:dyDescent="0.25">
      <c r="A509"/>
      <c r="B509"/>
      <c r="C509"/>
      <c r="D509">
        <f t="shared" si="130"/>
        <v>490</v>
      </c>
      <c r="E509" t="s">
        <v>954</v>
      </c>
      <c r="F509" t="s">
        <v>955</v>
      </c>
      <c r="G509" s="3">
        <v>0.56999999999999995</v>
      </c>
      <c r="H509" s="3">
        <v>51</v>
      </c>
    </row>
    <row r="510" spans="1:43" s="33" customFormat="1" ht="13" x14ac:dyDescent="0.3">
      <c r="D510" s="33">
        <f t="shared" si="130"/>
        <v>491</v>
      </c>
      <c r="E510" s="33" t="s">
        <v>956</v>
      </c>
      <c r="F510" s="33" t="s">
        <v>957</v>
      </c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60"/>
      <c r="T510" s="60"/>
      <c r="U510" s="60"/>
      <c r="V510" s="60"/>
      <c r="W510" s="117"/>
      <c r="X510" s="60"/>
      <c r="Y510" s="60"/>
      <c r="Z510" s="60"/>
      <c r="AA510" s="60"/>
      <c r="AB510" s="127"/>
      <c r="AC510" s="106"/>
      <c r="AD510" s="106"/>
      <c r="AE510" s="106"/>
      <c r="AF510" s="106"/>
      <c r="AG510" s="106"/>
      <c r="AH510" s="106"/>
      <c r="AI510" s="106"/>
      <c r="AJ510" s="106"/>
      <c r="AK510" s="106"/>
      <c r="AO510" s="58"/>
      <c r="AP510" s="58"/>
      <c r="AQ510" s="58"/>
    </row>
    <row r="511" spans="1:43" x14ac:dyDescent="0.25">
      <c r="A511"/>
      <c r="B511"/>
      <c r="C511"/>
      <c r="D511">
        <f t="shared" si="130"/>
        <v>492</v>
      </c>
      <c r="E511" t="s">
        <v>958</v>
      </c>
      <c r="F511" t="s">
        <v>959</v>
      </c>
      <c r="G511" s="3">
        <v>37.049999999999997</v>
      </c>
    </row>
    <row r="512" spans="1:43" x14ac:dyDescent="0.25">
      <c r="A512" t="s">
        <v>330</v>
      </c>
      <c r="B512"/>
      <c r="C512"/>
      <c r="D512">
        <f t="shared" si="130"/>
        <v>493</v>
      </c>
      <c r="E512" t="s">
        <v>952</v>
      </c>
      <c r="F512" t="s">
        <v>953</v>
      </c>
      <c r="G512" s="3">
        <v>3.94</v>
      </c>
    </row>
    <row r="513" spans="1:43" x14ac:dyDescent="0.25">
      <c r="A513"/>
      <c r="B513"/>
      <c r="C513"/>
      <c r="D513">
        <f t="shared" si="130"/>
        <v>494</v>
      </c>
      <c r="E513" t="s">
        <v>948</v>
      </c>
      <c r="F513" t="s">
        <v>949</v>
      </c>
      <c r="G513" s="3">
        <v>1.51</v>
      </c>
    </row>
    <row r="514" spans="1:43" x14ac:dyDescent="0.25">
      <c r="A514"/>
      <c r="B514"/>
      <c r="C514"/>
      <c r="D514">
        <f t="shared" si="130"/>
        <v>495</v>
      </c>
      <c r="E514" t="s">
        <v>932</v>
      </c>
      <c r="F514" t="s">
        <v>933</v>
      </c>
      <c r="G514" s="3">
        <v>1.66</v>
      </c>
    </row>
    <row r="515" spans="1:43" ht="13" x14ac:dyDescent="0.3">
      <c r="A515"/>
      <c r="B515"/>
      <c r="C515"/>
      <c r="D515">
        <f t="shared" si="130"/>
        <v>496</v>
      </c>
      <c r="E515" s="24" t="s">
        <v>1345</v>
      </c>
      <c r="F515" t="s">
        <v>1346</v>
      </c>
      <c r="G515" s="3">
        <v>0.64</v>
      </c>
      <c r="H515" s="3">
        <v>8</v>
      </c>
    </row>
    <row r="516" spans="1:43" x14ac:dyDescent="0.25">
      <c r="A516"/>
      <c r="B516"/>
      <c r="C516"/>
      <c r="D516">
        <f t="shared" si="130"/>
        <v>497</v>
      </c>
      <c r="E516" t="s">
        <v>936</v>
      </c>
      <c r="F516" t="s">
        <v>937</v>
      </c>
      <c r="G516" s="7">
        <v>1.4</v>
      </c>
      <c r="H516" s="3">
        <v>55</v>
      </c>
    </row>
    <row r="517" spans="1:43" s="33" customFormat="1" ht="13" x14ac:dyDescent="0.3">
      <c r="D517" s="33">
        <f t="shared" si="130"/>
        <v>498</v>
      </c>
      <c r="E517" s="33" t="s">
        <v>938</v>
      </c>
      <c r="F517" s="33" t="s">
        <v>939</v>
      </c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60"/>
      <c r="T517" s="60"/>
      <c r="U517" s="60"/>
      <c r="V517" s="60"/>
      <c r="W517" s="117"/>
      <c r="X517" s="60"/>
      <c r="Y517" s="60"/>
      <c r="Z517" s="60"/>
      <c r="AA517" s="60"/>
      <c r="AB517" s="127"/>
      <c r="AC517" s="106"/>
      <c r="AD517" s="106"/>
      <c r="AE517" s="106"/>
      <c r="AF517" s="106"/>
      <c r="AG517" s="106"/>
      <c r="AH517" s="106"/>
      <c r="AI517" s="106"/>
      <c r="AJ517" s="106"/>
      <c r="AK517" s="106"/>
      <c r="AO517" s="58"/>
      <c r="AP517" s="58"/>
      <c r="AQ517" s="58"/>
    </row>
    <row r="518" spans="1:43" s="33" customFormat="1" ht="13" x14ac:dyDescent="0.3">
      <c r="D518" s="33">
        <f t="shared" si="130"/>
        <v>499</v>
      </c>
      <c r="E518" s="33" t="s">
        <v>940</v>
      </c>
      <c r="F518" s="33" t="s">
        <v>941</v>
      </c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60"/>
      <c r="T518" s="60"/>
      <c r="U518" s="60"/>
      <c r="V518" s="60"/>
      <c r="W518" s="117"/>
      <c r="X518" s="60"/>
      <c r="Y518" s="60"/>
      <c r="Z518" s="60"/>
      <c r="AA518" s="60"/>
      <c r="AB518" s="127"/>
      <c r="AC518" s="106"/>
      <c r="AD518" s="106"/>
      <c r="AE518" s="106"/>
      <c r="AF518" s="106"/>
      <c r="AG518" s="106"/>
      <c r="AH518" s="106"/>
      <c r="AI518" s="106"/>
      <c r="AJ518" s="106"/>
      <c r="AK518" s="106"/>
      <c r="AO518" s="58"/>
      <c r="AP518" s="58"/>
      <c r="AQ518" s="58"/>
    </row>
    <row r="519" spans="1:43" ht="13" x14ac:dyDescent="0.3">
      <c r="A519"/>
      <c r="B519"/>
      <c r="C519"/>
      <c r="D519" s="33">
        <f t="shared" si="130"/>
        <v>500</v>
      </c>
      <c r="E519" t="s">
        <v>942</v>
      </c>
      <c r="F519" t="s">
        <v>943</v>
      </c>
      <c r="G519" s="3">
        <v>0.32</v>
      </c>
    </row>
    <row r="520" spans="1:43" s="33" customFormat="1" ht="13" x14ac:dyDescent="0.3">
      <c r="D520" s="33">
        <f t="shared" si="130"/>
        <v>501</v>
      </c>
      <c r="E520" s="33" t="s">
        <v>916</v>
      </c>
      <c r="F520" s="33" t="s">
        <v>917</v>
      </c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60"/>
      <c r="T520" s="60"/>
      <c r="U520" s="60"/>
      <c r="V520" s="60"/>
      <c r="W520" s="117"/>
      <c r="X520" s="60"/>
      <c r="Y520" s="60"/>
      <c r="Z520" s="60"/>
      <c r="AA520" s="60"/>
      <c r="AB520" s="127"/>
      <c r="AC520" s="106"/>
      <c r="AD520" s="106"/>
      <c r="AE520" s="106"/>
      <c r="AF520" s="106"/>
      <c r="AG520" s="106"/>
      <c r="AH520" s="106"/>
      <c r="AI520" s="106"/>
      <c r="AJ520" s="106"/>
      <c r="AK520" s="106"/>
      <c r="AO520" s="58"/>
      <c r="AP520" s="58"/>
      <c r="AQ520" s="58"/>
    </row>
    <row r="521" spans="1:43" x14ac:dyDescent="0.25">
      <c r="A521"/>
      <c r="B521"/>
      <c r="C521"/>
      <c r="D521">
        <f t="shared" si="130"/>
        <v>502</v>
      </c>
      <c r="E521" s="5" t="s">
        <v>1288</v>
      </c>
      <c r="F521" t="s">
        <v>1289</v>
      </c>
      <c r="G521" s="7">
        <v>0.82</v>
      </c>
    </row>
    <row r="522" spans="1:43" x14ac:dyDescent="0.25">
      <c r="A522"/>
      <c r="B522"/>
      <c r="C522"/>
      <c r="D522">
        <f t="shared" si="130"/>
        <v>503</v>
      </c>
      <c r="E522" t="s">
        <v>918</v>
      </c>
      <c r="F522" t="s">
        <v>919</v>
      </c>
      <c r="G522" s="3">
        <v>0.28000000000000003</v>
      </c>
    </row>
    <row r="523" spans="1:43" s="33" customFormat="1" ht="13" x14ac:dyDescent="0.3">
      <c r="D523" s="33">
        <f t="shared" si="130"/>
        <v>504</v>
      </c>
      <c r="E523" s="33" t="s">
        <v>920</v>
      </c>
      <c r="F523" s="33" t="s">
        <v>921</v>
      </c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60"/>
      <c r="T523" s="60"/>
      <c r="U523" s="60"/>
      <c r="V523" s="60"/>
      <c r="W523" s="117"/>
      <c r="X523" s="60"/>
      <c r="Y523" s="60"/>
      <c r="Z523" s="60"/>
      <c r="AA523" s="60"/>
      <c r="AB523" s="127"/>
      <c r="AC523" s="106"/>
      <c r="AD523" s="106"/>
      <c r="AE523" s="106"/>
      <c r="AF523" s="106"/>
      <c r="AG523" s="106"/>
      <c r="AH523" s="106"/>
      <c r="AI523" s="106"/>
      <c r="AJ523" s="106"/>
      <c r="AK523" s="106"/>
      <c r="AO523" s="58"/>
      <c r="AP523" s="58"/>
      <c r="AQ523" s="58"/>
    </row>
    <row r="524" spans="1:43" x14ac:dyDescent="0.25">
      <c r="A524"/>
      <c r="B524"/>
      <c r="C524"/>
      <c r="D524">
        <f t="shared" si="130"/>
        <v>505</v>
      </c>
      <c r="E524" t="s">
        <v>922</v>
      </c>
      <c r="F524" t="s">
        <v>923</v>
      </c>
      <c r="G524" s="3">
        <v>0.56999999999999995</v>
      </c>
    </row>
    <row r="525" spans="1:43" x14ac:dyDescent="0.25">
      <c r="A525"/>
      <c r="B525"/>
      <c r="C525"/>
      <c r="D525">
        <f t="shared" si="130"/>
        <v>506</v>
      </c>
      <c r="E525" t="s">
        <v>912</v>
      </c>
      <c r="F525" t="s">
        <v>913</v>
      </c>
      <c r="G525" s="3">
        <v>2.59</v>
      </c>
    </row>
    <row r="526" spans="1:43" x14ac:dyDescent="0.25">
      <c r="A526"/>
      <c r="B526"/>
      <c r="C526"/>
      <c r="D526">
        <f t="shared" si="130"/>
        <v>507</v>
      </c>
      <c r="E526" t="s">
        <v>888</v>
      </c>
      <c r="F526" t="s">
        <v>889</v>
      </c>
      <c r="G526" s="7">
        <v>2.1</v>
      </c>
      <c r="H526" s="3">
        <v>90</v>
      </c>
    </row>
    <row r="527" spans="1:43" x14ac:dyDescent="0.25">
      <c r="A527"/>
      <c r="B527"/>
      <c r="C527"/>
      <c r="D527">
        <f t="shared" si="130"/>
        <v>508</v>
      </c>
      <c r="E527" t="s">
        <v>882</v>
      </c>
      <c r="F527" t="s">
        <v>883</v>
      </c>
      <c r="G527" s="7">
        <v>1.3</v>
      </c>
      <c r="H527" s="3">
        <v>72</v>
      </c>
    </row>
    <row r="528" spans="1:43" x14ac:dyDescent="0.25">
      <c r="A528"/>
      <c r="B528"/>
      <c r="C528"/>
      <c r="D528">
        <f t="shared" si="130"/>
        <v>509</v>
      </c>
      <c r="E528" t="s">
        <v>887</v>
      </c>
      <c r="F528" t="s">
        <v>886</v>
      </c>
      <c r="G528" s="7">
        <v>1.05</v>
      </c>
      <c r="H528" s="3">
        <v>38</v>
      </c>
    </row>
    <row r="529" spans="1:43" x14ac:dyDescent="0.25">
      <c r="A529"/>
      <c r="B529"/>
      <c r="C529"/>
      <c r="D529">
        <f t="shared" si="130"/>
        <v>510</v>
      </c>
      <c r="E529" t="s">
        <v>894</v>
      </c>
      <c r="F529" t="s">
        <v>895</v>
      </c>
      <c r="G529" s="3">
        <v>1.56</v>
      </c>
      <c r="H529" s="3">
        <v>36</v>
      </c>
    </row>
    <row r="530" spans="1:43" x14ac:dyDescent="0.25">
      <c r="A530"/>
      <c r="B530"/>
      <c r="C530"/>
      <c r="D530">
        <f t="shared" si="130"/>
        <v>511</v>
      </c>
      <c r="E530" s="5" t="s">
        <v>2062</v>
      </c>
      <c r="F530" t="s">
        <v>2063</v>
      </c>
      <c r="G530" s="3">
        <v>2.15</v>
      </c>
      <c r="H530" s="6">
        <f>+G530*L530</f>
        <v>111.7999914</v>
      </c>
      <c r="I530" s="6">
        <f>+[203]Main!$M$5-[203]Main!$M$6</f>
        <v>30.497</v>
      </c>
      <c r="J530" s="6">
        <f>+H530-I530</f>
        <v>81.302991399999996</v>
      </c>
      <c r="K530" s="3" t="s">
        <v>2007</v>
      </c>
      <c r="L530" s="6">
        <f>+[203]Main!$M$3</f>
        <v>51.999996000000003</v>
      </c>
      <c r="M530" s="9">
        <v>46220</v>
      </c>
    </row>
    <row r="531" spans="1:43" x14ac:dyDescent="0.25">
      <c r="A531"/>
      <c r="B531"/>
      <c r="C531"/>
      <c r="D531">
        <f>+D529+1</f>
        <v>511</v>
      </c>
      <c r="E531" t="s">
        <v>874</v>
      </c>
      <c r="F531" t="s">
        <v>875</v>
      </c>
      <c r="G531" s="7">
        <v>4.68</v>
      </c>
      <c r="H531" s="3">
        <v>25</v>
      </c>
    </row>
    <row r="532" spans="1:43" s="33" customFormat="1" ht="13" x14ac:dyDescent="0.3">
      <c r="D532" s="33">
        <f t="shared" si="130"/>
        <v>512</v>
      </c>
      <c r="E532" s="33" t="s">
        <v>898</v>
      </c>
      <c r="F532" s="33" t="s">
        <v>899</v>
      </c>
      <c r="G532" s="58">
        <v>0.27</v>
      </c>
      <c r="H532" s="58">
        <v>11</v>
      </c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60"/>
      <c r="T532" s="60"/>
      <c r="U532" s="60"/>
      <c r="V532" s="60"/>
      <c r="W532" s="117"/>
      <c r="X532" s="60"/>
      <c r="Y532" s="60"/>
      <c r="Z532" s="60"/>
      <c r="AA532" s="60"/>
      <c r="AB532" s="127"/>
      <c r="AC532" s="106"/>
      <c r="AD532" s="106"/>
      <c r="AE532" s="106"/>
      <c r="AF532" s="106"/>
      <c r="AG532" s="106"/>
      <c r="AH532" s="106"/>
      <c r="AI532" s="106"/>
      <c r="AJ532" s="106"/>
      <c r="AK532" s="106"/>
      <c r="AO532" s="58"/>
      <c r="AP532" s="58"/>
      <c r="AQ532" s="58"/>
    </row>
    <row r="533" spans="1:43" x14ac:dyDescent="0.25">
      <c r="A533"/>
      <c r="B533"/>
      <c r="C533"/>
      <c r="D533">
        <f t="shared" si="130"/>
        <v>513</v>
      </c>
      <c r="E533" s="5" t="s">
        <v>900</v>
      </c>
      <c r="F533" t="s">
        <v>901</v>
      </c>
      <c r="G533" s="7">
        <v>30.5</v>
      </c>
      <c r="H533" s="6">
        <f>+G533*L533</f>
        <v>123.39388050000001</v>
      </c>
      <c r="I533" s="6">
        <f>+[204]Main!$M$5-[204]Main!$M$6</f>
        <v>16.379000000000001</v>
      </c>
      <c r="J533" s="6">
        <f>+H533-I533</f>
        <v>107.0148805</v>
      </c>
      <c r="K533" s="3" t="s">
        <v>2007</v>
      </c>
      <c r="L533" s="6">
        <f>+[204]Main!$M$3</f>
        <v>4.0457010000000002</v>
      </c>
      <c r="M533" s="9">
        <v>46220</v>
      </c>
    </row>
    <row r="534" spans="1:43" x14ac:dyDescent="0.25">
      <c r="A534"/>
      <c r="B534"/>
      <c r="C534"/>
      <c r="D534">
        <f t="shared" si="130"/>
        <v>514</v>
      </c>
      <c r="E534" t="s">
        <v>904</v>
      </c>
      <c r="F534" t="s">
        <v>905</v>
      </c>
      <c r="G534" s="3">
        <v>1.61</v>
      </c>
      <c r="H534" s="3">
        <v>79</v>
      </c>
    </row>
    <row r="535" spans="1:43" x14ac:dyDescent="0.25">
      <c r="A535"/>
      <c r="B535"/>
      <c r="C535"/>
      <c r="D535">
        <f t="shared" si="130"/>
        <v>515</v>
      </c>
      <c r="E535" t="s">
        <v>876</v>
      </c>
      <c r="F535" t="s">
        <v>877</v>
      </c>
      <c r="G535" s="7">
        <v>1.36</v>
      </c>
    </row>
    <row r="536" spans="1:43" x14ac:dyDescent="0.25">
      <c r="A536"/>
      <c r="B536"/>
      <c r="C536"/>
      <c r="D536">
        <f t="shared" si="130"/>
        <v>516</v>
      </c>
      <c r="E536" t="s">
        <v>870</v>
      </c>
      <c r="F536" t="s">
        <v>871</v>
      </c>
      <c r="G536" s="7">
        <v>0.84</v>
      </c>
    </row>
    <row r="537" spans="1:43" s="33" customFormat="1" ht="13" x14ac:dyDescent="0.3">
      <c r="D537" s="33">
        <f t="shared" si="130"/>
        <v>517</v>
      </c>
      <c r="E537" s="33" t="s">
        <v>216</v>
      </c>
      <c r="F537" s="33" t="s">
        <v>217</v>
      </c>
      <c r="G537" s="34">
        <v>31.39</v>
      </c>
      <c r="H537" s="58">
        <v>1020</v>
      </c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60"/>
      <c r="T537" s="60"/>
      <c r="U537" s="60"/>
      <c r="V537" s="60"/>
      <c r="W537" s="117"/>
      <c r="X537" s="60"/>
      <c r="Y537" s="60"/>
      <c r="Z537" s="60"/>
      <c r="AA537" s="60"/>
      <c r="AB537" s="127"/>
      <c r="AC537" s="106"/>
      <c r="AD537" s="106"/>
      <c r="AE537" s="106"/>
      <c r="AF537" s="106"/>
      <c r="AG537" s="106"/>
      <c r="AH537" s="106"/>
      <c r="AI537" s="106"/>
      <c r="AJ537" s="106"/>
      <c r="AK537" s="106"/>
      <c r="AO537" s="58"/>
      <c r="AP537" s="58"/>
      <c r="AQ537" s="58"/>
    </row>
    <row r="538" spans="1:43" x14ac:dyDescent="0.25">
      <c r="A538"/>
      <c r="B538"/>
      <c r="C538"/>
      <c r="D538">
        <f t="shared" si="130"/>
        <v>518</v>
      </c>
      <c r="E538" s="5" t="s">
        <v>230</v>
      </c>
      <c r="F538" s="1" t="s">
        <v>231</v>
      </c>
      <c r="G538" s="7">
        <v>8.1999999999999993</v>
      </c>
      <c r="H538" s="6">
        <f>+G538*L538</f>
        <v>76.655535199999989</v>
      </c>
      <c r="I538" s="6">
        <f>+[205]Main!$J$5-[205]Main!$J$6</f>
        <v>137.59199999999998</v>
      </c>
      <c r="J538" s="8">
        <f t="shared" ref="J538:J544" si="133">+H538-I538</f>
        <v>-60.936464799999996</v>
      </c>
      <c r="K538" s="3" t="s">
        <v>2007</v>
      </c>
      <c r="L538" s="6">
        <f>+[205]Main!$J$3</f>
        <v>9.348236</v>
      </c>
      <c r="M538" s="9">
        <v>46218</v>
      </c>
    </row>
    <row r="539" spans="1:43" x14ac:dyDescent="0.25">
      <c r="A539"/>
      <c r="B539"/>
      <c r="C539"/>
      <c r="D539">
        <f t="shared" si="130"/>
        <v>519</v>
      </c>
      <c r="E539" s="5" t="s">
        <v>317</v>
      </c>
      <c r="F539" t="s">
        <v>318</v>
      </c>
      <c r="G539" s="7">
        <v>8.5</v>
      </c>
      <c r="H539" s="6">
        <f>+G539*L539</f>
        <v>80.019892499999997</v>
      </c>
      <c r="I539" s="6">
        <f>+[206]Main!$N$5-[206]Main!$N$6</f>
        <v>-7.4640000000000004</v>
      </c>
      <c r="J539" s="6">
        <f t="shared" si="133"/>
        <v>87.483892499999996</v>
      </c>
      <c r="K539" s="3" t="s">
        <v>297</v>
      </c>
      <c r="L539" s="6">
        <f>+[206]Main!$N$3</f>
        <v>9.4141049999999993</v>
      </c>
      <c r="M539" s="9">
        <v>44780</v>
      </c>
    </row>
    <row r="540" spans="1:43" s="33" customFormat="1" ht="13" x14ac:dyDescent="0.3">
      <c r="D540" s="33">
        <f t="shared" si="130"/>
        <v>520</v>
      </c>
      <c r="E540" s="57" t="s">
        <v>238</v>
      </c>
      <c r="F540" s="33" t="s">
        <v>239</v>
      </c>
      <c r="G540" s="58">
        <v>1.98</v>
      </c>
      <c r="H540" s="35">
        <f>G540*[207]Main!$N$3</f>
        <v>39.757463459999997</v>
      </c>
      <c r="I540" s="35">
        <f>[207]Main!$N$5-[207]Main!$N$6</f>
        <v>15.942</v>
      </c>
      <c r="J540" s="109">
        <f t="shared" si="133"/>
        <v>23.815463459999997</v>
      </c>
      <c r="K540" s="58" t="s">
        <v>15</v>
      </c>
      <c r="L540" s="58"/>
      <c r="M540" s="58"/>
      <c r="N540" s="58"/>
      <c r="O540" s="58"/>
      <c r="P540" s="58"/>
      <c r="Q540" s="58"/>
      <c r="R540" s="58"/>
      <c r="S540" s="60"/>
      <c r="T540" s="60"/>
      <c r="U540" s="60"/>
      <c r="V540" s="60"/>
      <c r="W540" s="117"/>
      <c r="X540" s="60"/>
      <c r="Y540" s="60"/>
      <c r="Z540" s="60"/>
      <c r="AA540" s="60"/>
      <c r="AB540" s="127"/>
      <c r="AC540" s="106"/>
      <c r="AD540" s="106"/>
      <c r="AE540" s="106"/>
      <c r="AF540" s="106"/>
      <c r="AG540" s="106"/>
      <c r="AH540" s="106"/>
      <c r="AI540" s="106"/>
      <c r="AJ540" s="106"/>
      <c r="AK540" s="106"/>
      <c r="AO540" s="58"/>
      <c r="AP540" s="58"/>
      <c r="AQ540" s="58"/>
    </row>
    <row r="541" spans="1:43" s="33" customFormat="1" ht="13" x14ac:dyDescent="0.3">
      <c r="D541" s="33">
        <f t="shared" si="130"/>
        <v>521</v>
      </c>
      <c r="E541" s="57" t="s">
        <v>240</v>
      </c>
      <c r="F541" s="33" t="s">
        <v>241</v>
      </c>
      <c r="G541" s="58">
        <v>0.62</v>
      </c>
      <c r="H541" s="35">
        <f>G541*[208]Main!$L$3</f>
        <v>30.1881658</v>
      </c>
      <c r="I541" s="35">
        <f>[208]Main!$L$5-[208]Main!$L$6</f>
        <v>13.262999999999998</v>
      </c>
      <c r="J541" s="109">
        <f t="shared" si="133"/>
        <v>16.925165800000002</v>
      </c>
      <c r="K541" s="58" t="s">
        <v>15</v>
      </c>
      <c r="L541" s="58"/>
      <c r="M541" s="58"/>
      <c r="N541" s="58"/>
      <c r="O541" s="58"/>
      <c r="P541" s="58"/>
      <c r="Q541" s="58"/>
      <c r="R541" s="58"/>
      <c r="S541" s="60"/>
      <c r="T541" s="60"/>
      <c r="U541" s="60"/>
      <c r="V541" s="60"/>
      <c r="W541" s="117"/>
      <c r="X541" s="60"/>
      <c r="Y541" s="60"/>
      <c r="Z541" s="60"/>
      <c r="AA541" s="60"/>
      <c r="AB541" s="127"/>
      <c r="AC541" s="106"/>
      <c r="AD541" s="106"/>
      <c r="AE541" s="106"/>
      <c r="AF541" s="106"/>
      <c r="AG541" s="106"/>
      <c r="AH541" s="106"/>
      <c r="AI541" s="106"/>
      <c r="AJ541" s="106"/>
      <c r="AK541" s="106"/>
      <c r="AO541" s="58"/>
      <c r="AP541" s="58"/>
      <c r="AQ541" s="58"/>
    </row>
    <row r="542" spans="1:43" x14ac:dyDescent="0.25">
      <c r="D542">
        <f t="shared" si="130"/>
        <v>522</v>
      </c>
      <c r="E542" s="5" t="s">
        <v>242</v>
      </c>
      <c r="F542" s="1" t="s">
        <v>243</v>
      </c>
      <c r="G542" s="3">
        <v>6.75</v>
      </c>
      <c r="H542" s="6">
        <v>125.46108324000001</v>
      </c>
      <c r="I542" s="6">
        <v>131.17699999999999</v>
      </c>
      <c r="J542" s="8">
        <f t="shared" si="133"/>
        <v>-5.7159167599999847</v>
      </c>
      <c r="K542" s="3" t="s">
        <v>15</v>
      </c>
    </row>
    <row r="543" spans="1:43" s="33" customFormat="1" ht="13" x14ac:dyDescent="0.3">
      <c r="D543" s="33">
        <f t="shared" si="130"/>
        <v>523</v>
      </c>
      <c r="E543" s="57" t="s">
        <v>244</v>
      </c>
      <c r="F543" s="33" t="s">
        <v>245</v>
      </c>
      <c r="G543" s="58">
        <v>0.98</v>
      </c>
      <c r="H543" s="35">
        <v>20.935517539999999</v>
      </c>
      <c r="I543" s="35">
        <v>55.28</v>
      </c>
      <c r="J543" s="109">
        <f t="shared" si="133"/>
        <v>-34.344482460000002</v>
      </c>
      <c r="K543" s="58" t="s">
        <v>15</v>
      </c>
      <c r="L543" s="58"/>
      <c r="M543" s="58"/>
      <c r="N543" s="58"/>
      <c r="O543" s="58"/>
      <c r="P543" s="58"/>
      <c r="Q543" s="58"/>
      <c r="R543" s="58"/>
      <c r="S543" s="60"/>
      <c r="T543" s="60"/>
      <c r="U543" s="60"/>
      <c r="V543" s="60"/>
      <c r="W543" s="117"/>
      <c r="X543" s="60"/>
      <c r="Y543" s="60"/>
      <c r="Z543" s="60"/>
      <c r="AA543" s="60"/>
      <c r="AB543" s="127"/>
      <c r="AC543" s="106"/>
      <c r="AD543" s="106"/>
      <c r="AE543" s="106"/>
      <c r="AF543" s="106"/>
      <c r="AG543" s="106"/>
      <c r="AH543" s="106"/>
      <c r="AI543" s="106"/>
      <c r="AJ543" s="106"/>
      <c r="AK543" s="106"/>
      <c r="AO543" s="58"/>
      <c r="AP543" s="58"/>
      <c r="AQ543" s="58"/>
    </row>
    <row r="544" spans="1:43" s="33" customFormat="1" ht="13" x14ac:dyDescent="0.3">
      <c r="D544" s="33">
        <f t="shared" si="130"/>
        <v>524</v>
      </c>
      <c r="E544" s="57" t="s">
        <v>541</v>
      </c>
      <c r="F544" s="33" t="s">
        <v>542</v>
      </c>
      <c r="G544" s="58">
        <v>0.94</v>
      </c>
      <c r="H544" s="35">
        <f>+G544*L544</f>
        <v>56.676359999999995</v>
      </c>
      <c r="I544" s="35">
        <f>+[209]Main!$K$5-[209]Main!$K$6</f>
        <v>136.64599999999999</v>
      </c>
      <c r="J544" s="35">
        <f t="shared" si="133"/>
        <v>-79.969639999999998</v>
      </c>
      <c r="K544" s="58" t="s">
        <v>1066</v>
      </c>
      <c r="L544" s="35">
        <f>+[209]Main!$K$3</f>
        <v>60.293999999999997</v>
      </c>
      <c r="M544" s="59">
        <v>45550</v>
      </c>
      <c r="N544" s="58"/>
      <c r="O544" s="58"/>
      <c r="P544" s="58"/>
      <c r="Q544" s="58"/>
      <c r="R544" s="58"/>
      <c r="S544" s="60"/>
      <c r="T544" s="60"/>
      <c r="U544" s="60"/>
      <c r="V544" s="60"/>
      <c r="W544" s="117"/>
      <c r="X544" s="60"/>
      <c r="Y544" s="60"/>
      <c r="Z544" s="60"/>
      <c r="AA544" s="60"/>
      <c r="AB544" s="127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33">
        <v>2017</v>
      </c>
      <c r="AO544" s="58"/>
      <c r="AP544" s="58"/>
      <c r="AQ544" s="58"/>
    </row>
    <row r="545" spans="1:43" x14ac:dyDescent="0.25">
      <c r="A545"/>
      <c r="B545"/>
      <c r="C545"/>
      <c r="D545">
        <f t="shared" si="130"/>
        <v>525</v>
      </c>
      <c r="E545" t="s">
        <v>1174</v>
      </c>
      <c r="F545" t="s">
        <v>1175</v>
      </c>
      <c r="G545" s="3">
        <v>8.32</v>
      </c>
      <c r="H545" s="6"/>
    </row>
    <row r="546" spans="1:43" s="33" customFormat="1" ht="13" x14ac:dyDescent="0.3">
      <c r="D546" s="33">
        <f t="shared" si="130"/>
        <v>526</v>
      </c>
      <c r="E546" s="33" t="s">
        <v>246</v>
      </c>
      <c r="F546" s="33" t="s">
        <v>247</v>
      </c>
      <c r="G546" s="58">
        <v>0.61</v>
      </c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60"/>
      <c r="T546" s="60"/>
      <c r="U546" s="60"/>
      <c r="V546" s="60"/>
      <c r="W546" s="117"/>
      <c r="X546" s="60"/>
      <c r="Y546" s="60"/>
      <c r="Z546" s="60"/>
      <c r="AA546" s="60"/>
      <c r="AB546" s="127"/>
      <c r="AC546" s="106"/>
      <c r="AD546" s="106"/>
      <c r="AE546" s="106"/>
      <c r="AF546" s="106"/>
      <c r="AG546" s="106"/>
      <c r="AH546" s="106"/>
      <c r="AI546" s="106"/>
      <c r="AJ546" s="106"/>
      <c r="AK546" s="106"/>
      <c r="AO546" s="58"/>
      <c r="AP546" s="58"/>
      <c r="AQ546" s="58"/>
    </row>
    <row r="547" spans="1:43" s="33" customFormat="1" ht="13" x14ac:dyDescent="0.3">
      <c r="D547" s="33">
        <f t="shared" si="130"/>
        <v>527</v>
      </c>
      <c r="E547" s="33" t="s">
        <v>248</v>
      </c>
      <c r="F547" s="33" t="s">
        <v>249</v>
      </c>
      <c r="G547" s="58">
        <v>1.75</v>
      </c>
      <c r="H547" s="58">
        <v>96</v>
      </c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60"/>
      <c r="T547" s="60"/>
      <c r="U547" s="60"/>
      <c r="V547" s="60"/>
      <c r="W547" s="117"/>
      <c r="X547" s="60"/>
      <c r="Y547" s="60"/>
      <c r="Z547" s="60"/>
      <c r="AA547" s="60"/>
      <c r="AB547" s="127"/>
      <c r="AC547" s="106"/>
      <c r="AD547" s="106"/>
      <c r="AE547" s="106"/>
      <c r="AF547" s="106"/>
      <c r="AG547" s="106"/>
      <c r="AH547" s="106"/>
      <c r="AI547" s="106"/>
      <c r="AJ547" s="106"/>
      <c r="AK547" s="106"/>
      <c r="AO547" s="58"/>
      <c r="AP547" s="58"/>
      <c r="AQ547" s="58"/>
    </row>
    <row r="548" spans="1:43" x14ac:dyDescent="0.25">
      <c r="D548">
        <f t="shared" ref="D548:D594" si="134">+D547+1</f>
        <v>528</v>
      </c>
      <c r="E548" s="1" t="s">
        <v>344</v>
      </c>
      <c r="F548" t="s">
        <v>345</v>
      </c>
      <c r="G548" s="7">
        <v>8.76</v>
      </c>
      <c r="H548" s="3">
        <v>52</v>
      </c>
    </row>
    <row r="549" spans="1:43" s="33" customFormat="1" ht="13" x14ac:dyDescent="0.3">
      <c r="A549" s="33" t="s">
        <v>330</v>
      </c>
      <c r="D549" s="33">
        <f t="shared" si="134"/>
        <v>529</v>
      </c>
      <c r="E549" s="33" t="s">
        <v>1302</v>
      </c>
      <c r="F549" s="33" t="s">
        <v>1303</v>
      </c>
      <c r="G549" s="34">
        <v>14.68</v>
      </c>
      <c r="H549" s="58">
        <v>396</v>
      </c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60"/>
      <c r="T549" s="60"/>
      <c r="U549" s="60"/>
      <c r="V549" s="60"/>
      <c r="W549" s="117"/>
      <c r="X549" s="60"/>
      <c r="Y549" s="60"/>
      <c r="Z549" s="60"/>
      <c r="AA549" s="60"/>
      <c r="AB549" s="127"/>
      <c r="AC549" s="106"/>
      <c r="AD549" s="106"/>
      <c r="AE549" s="106"/>
      <c r="AF549" s="106"/>
      <c r="AG549" s="106"/>
      <c r="AH549" s="106"/>
      <c r="AI549" s="106"/>
      <c r="AJ549" s="106"/>
      <c r="AK549" s="106"/>
      <c r="AO549" s="58"/>
      <c r="AP549" s="58"/>
      <c r="AQ549" s="58"/>
    </row>
    <row r="550" spans="1:43" s="33" customFormat="1" ht="13" x14ac:dyDescent="0.3">
      <c r="D550" s="33">
        <f t="shared" si="134"/>
        <v>530</v>
      </c>
      <c r="E550" s="33" t="s">
        <v>375</v>
      </c>
      <c r="F550" s="33" t="s">
        <v>376</v>
      </c>
      <c r="G550" s="58">
        <v>25.85</v>
      </c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60"/>
      <c r="T550" s="60"/>
      <c r="U550" s="60"/>
      <c r="V550" s="60"/>
      <c r="W550" s="117"/>
      <c r="X550" s="60"/>
      <c r="Y550" s="60"/>
      <c r="Z550" s="60"/>
      <c r="AA550" s="60"/>
      <c r="AB550" s="127"/>
      <c r="AC550" s="106"/>
      <c r="AD550" s="106"/>
      <c r="AE550" s="106"/>
      <c r="AF550" s="106"/>
      <c r="AG550" s="106"/>
      <c r="AH550" s="106"/>
      <c r="AI550" s="106"/>
      <c r="AJ550" s="106"/>
      <c r="AK550" s="106"/>
      <c r="AO550" s="58"/>
      <c r="AP550" s="58"/>
      <c r="AQ550" s="58"/>
    </row>
    <row r="551" spans="1:43" x14ac:dyDescent="0.25">
      <c r="D551">
        <f t="shared" si="134"/>
        <v>531</v>
      </c>
      <c r="E551" t="s">
        <v>381</v>
      </c>
      <c r="F551" t="s">
        <v>382</v>
      </c>
      <c r="G551" s="3">
        <v>9.26</v>
      </c>
      <c r="H551" s="3">
        <v>204</v>
      </c>
    </row>
    <row r="552" spans="1:43" x14ac:dyDescent="0.25">
      <c r="D552">
        <f t="shared" si="134"/>
        <v>532</v>
      </c>
      <c r="E552" s="1" t="s">
        <v>391</v>
      </c>
      <c r="F552" s="1" t="s">
        <v>392</v>
      </c>
      <c r="G552" s="3">
        <v>0.69</v>
      </c>
      <c r="H552" s="3">
        <v>4</v>
      </c>
    </row>
    <row r="553" spans="1:43" x14ac:dyDescent="0.25">
      <c r="D553">
        <f t="shared" si="134"/>
        <v>533</v>
      </c>
      <c r="E553" t="s">
        <v>741</v>
      </c>
      <c r="F553" t="s">
        <v>742</v>
      </c>
      <c r="G553" s="7">
        <v>83</v>
      </c>
    </row>
    <row r="554" spans="1:43" x14ac:dyDescent="0.25">
      <c r="D554">
        <f t="shared" si="134"/>
        <v>534</v>
      </c>
      <c r="E554" t="s">
        <v>744</v>
      </c>
      <c r="F554" t="s">
        <v>745</v>
      </c>
      <c r="G554" s="6">
        <v>4445</v>
      </c>
    </row>
    <row r="555" spans="1:43" s="33" customFormat="1" ht="13" x14ac:dyDescent="0.3">
      <c r="D555" s="33">
        <f t="shared" si="134"/>
        <v>535</v>
      </c>
      <c r="E555" s="33" t="s">
        <v>500</v>
      </c>
      <c r="F555" s="33" t="s">
        <v>501</v>
      </c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60"/>
      <c r="T555" s="60"/>
      <c r="U555" s="60"/>
      <c r="V555" s="60"/>
      <c r="W555" s="117"/>
      <c r="X555" s="60"/>
      <c r="Y555" s="60"/>
      <c r="Z555" s="60"/>
      <c r="AA555" s="60"/>
      <c r="AB555" s="127"/>
      <c r="AC555" s="106"/>
      <c r="AD555" s="106"/>
      <c r="AE555" s="106"/>
      <c r="AF555" s="106"/>
      <c r="AG555" s="106"/>
      <c r="AH555" s="106"/>
      <c r="AI555" s="106"/>
      <c r="AJ555" s="106"/>
      <c r="AK555" s="106"/>
      <c r="AO555" s="58"/>
      <c r="AP555" s="58"/>
      <c r="AQ555" s="58"/>
    </row>
    <row r="556" spans="1:43" x14ac:dyDescent="0.25">
      <c r="D556">
        <f t="shared" si="134"/>
        <v>536</v>
      </c>
      <c r="E556" s="1" t="s">
        <v>511</v>
      </c>
      <c r="F556" s="1" t="s">
        <v>512</v>
      </c>
      <c r="G556" s="3">
        <v>2.5499999999999998</v>
      </c>
    </row>
    <row r="557" spans="1:43" x14ac:dyDescent="0.25">
      <c r="D557">
        <f t="shared" si="134"/>
        <v>537</v>
      </c>
      <c r="E557" s="1" t="s">
        <v>519</v>
      </c>
      <c r="F557" s="1" t="s">
        <v>520</v>
      </c>
      <c r="G557" s="3">
        <v>0.72</v>
      </c>
    </row>
    <row r="558" spans="1:43" x14ac:dyDescent="0.25">
      <c r="D558">
        <f t="shared" si="134"/>
        <v>538</v>
      </c>
      <c r="E558" t="s">
        <v>523</v>
      </c>
      <c r="F558" t="s">
        <v>524</v>
      </c>
      <c r="G558" s="3">
        <v>0.18</v>
      </c>
    </row>
    <row r="559" spans="1:43" x14ac:dyDescent="0.25">
      <c r="D559">
        <f t="shared" si="134"/>
        <v>539</v>
      </c>
      <c r="E559" t="s">
        <v>525</v>
      </c>
      <c r="F559" t="s">
        <v>526</v>
      </c>
      <c r="G559" s="3">
        <v>2.83</v>
      </c>
    </row>
    <row r="560" spans="1:43" x14ac:dyDescent="0.25">
      <c r="D560">
        <f t="shared" si="134"/>
        <v>540</v>
      </c>
      <c r="E560" t="s">
        <v>527</v>
      </c>
      <c r="F560" t="s">
        <v>528</v>
      </c>
      <c r="G560" s="3">
        <v>2.71</v>
      </c>
    </row>
    <row r="561" spans="1:43" s="33" customFormat="1" ht="13" x14ac:dyDescent="0.3">
      <c r="D561" s="33">
        <f t="shared" si="134"/>
        <v>541</v>
      </c>
      <c r="E561" s="33" t="s">
        <v>529</v>
      </c>
      <c r="F561" s="33" t="s">
        <v>530</v>
      </c>
      <c r="G561" s="58">
        <v>4.3600000000000003</v>
      </c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60"/>
      <c r="T561" s="60"/>
      <c r="U561" s="60"/>
      <c r="V561" s="60"/>
      <c r="W561" s="117"/>
      <c r="X561" s="60"/>
      <c r="Y561" s="60"/>
      <c r="Z561" s="60"/>
      <c r="AA561" s="60"/>
      <c r="AB561" s="127"/>
      <c r="AC561" s="106"/>
      <c r="AD561" s="106"/>
      <c r="AE561" s="106"/>
      <c r="AF561" s="106"/>
      <c r="AG561" s="106"/>
      <c r="AH561" s="106"/>
      <c r="AI561" s="106"/>
      <c r="AJ561" s="106"/>
      <c r="AK561" s="106"/>
      <c r="AO561" s="58"/>
      <c r="AP561" s="58"/>
      <c r="AQ561" s="58"/>
    </row>
    <row r="562" spans="1:43" x14ac:dyDescent="0.25">
      <c r="D562">
        <f t="shared" si="134"/>
        <v>542</v>
      </c>
      <c r="E562" t="s">
        <v>531</v>
      </c>
      <c r="F562" t="s">
        <v>532</v>
      </c>
      <c r="G562" s="7">
        <v>0.7</v>
      </c>
    </row>
    <row r="563" spans="1:43" x14ac:dyDescent="0.25">
      <c r="A563"/>
      <c r="B563"/>
      <c r="C563"/>
      <c r="D563">
        <f t="shared" si="134"/>
        <v>543</v>
      </c>
      <c r="E563" s="5" t="s">
        <v>1161</v>
      </c>
      <c r="F563" t="s">
        <v>1162</v>
      </c>
      <c r="G563" s="3">
        <v>1.32</v>
      </c>
      <c r="H563" s="6">
        <f>+G563*L563</f>
        <v>40.883255159999997</v>
      </c>
      <c r="I563" s="6">
        <f>+[210]Main!$J$5-[210]Main!$J$6</f>
        <v>220.43200000000002</v>
      </c>
      <c r="J563" s="6">
        <f>+H563-I563</f>
        <v>-179.54874484000001</v>
      </c>
      <c r="K563" s="3" t="s">
        <v>1066</v>
      </c>
      <c r="L563" s="6">
        <f>+[210]Main!$J$3</f>
        <v>30.972162999999998</v>
      </c>
      <c r="M563" s="9">
        <v>45548</v>
      </c>
      <c r="AL563" s="1">
        <v>2018</v>
      </c>
    </row>
    <row r="564" spans="1:43" x14ac:dyDescent="0.25">
      <c r="A564"/>
      <c r="B564"/>
      <c r="C564"/>
      <c r="D564">
        <f t="shared" si="134"/>
        <v>544</v>
      </c>
      <c r="E564" t="s">
        <v>305</v>
      </c>
      <c r="F564" t="s">
        <v>306</v>
      </c>
      <c r="G564" s="3">
        <v>3.13</v>
      </c>
      <c r="H564" s="6">
        <v>272</v>
      </c>
    </row>
    <row r="565" spans="1:43" x14ac:dyDescent="0.25">
      <c r="A565"/>
      <c r="B565"/>
      <c r="C565"/>
      <c r="D565">
        <f t="shared" si="134"/>
        <v>545</v>
      </c>
      <c r="E565" t="s">
        <v>665</v>
      </c>
      <c r="F565" t="s">
        <v>666</v>
      </c>
      <c r="G565" s="3">
        <v>2.71</v>
      </c>
    </row>
    <row r="566" spans="1:43" s="33" customFormat="1" ht="13" x14ac:dyDescent="0.3">
      <c r="D566" s="33">
        <f t="shared" si="134"/>
        <v>546</v>
      </c>
      <c r="E566" s="33" t="s">
        <v>667</v>
      </c>
      <c r="F566" s="33" t="s">
        <v>668</v>
      </c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60"/>
      <c r="T566" s="60"/>
      <c r="U566" s="60"/>
      <c r="V566" s="60"/>
      <c r="W566" s="117"/>
      <c r="X566" s="60"/>
      <c r="Y566" s="60"/>
      <c r="Z566" s="60"/>
      <c r="AA566" s="60"/>
      <c r="AB566" s="127"/>
      <c r="AC566" s="106"/>
      <c r="AD566" s="106"/>
      <c r="AE566" s="106"/>
      <c r="AF566" s="106"/>
      <c r="AG566" s="106"/>
      <c r="AH566" s="106"/>
      <c r="AI566" s="106"/>
      <c r="AJ566" s="106"/>
      <c r="AK566" s="106"/>
      <c r="AO566" s="58"/>
      <c r="AP566" s="58"/>
      <c r="AQ566" s="58"/>
    </row>
    <row r="567" spans="1:43" x14ac:dyDescent="0.25">
      <c r="D567">
        <f t="shared" si="134"/>
        <v>547</v>
      </c>
      <c r="E567" t="s">
        <v>802</v>
      </c>
      <c r="F567" t="s">
        <v>803</v>
      </c>
      <c r="G567" s="3">
        <v>14.94</v>
      </c>
    </row>
    <row r="568" spans="1:43" x14ac:dyDescent="0.25">
      <c r="D568">
        <f t="shared" si="134"/>
        <v>548</v>
      </c>
      <c r="E568" t="s">
        <v>2218</v>
      </c>
      <c r="F568"/>
    </row>
    <row r="569" spans="1:43" x14ac:dyDescent="0.25">
      <c r="D569">
        <f t="shared" si="134"/>
        <v>549</v>
      </c>
      <c r="E569" s="1" t="s">
        <v>139</v>
      </c>
      <c r="F569" s="1" t="s">
        <v>140</v>
      </c>
      <c r="G569" s="3">
        <v>13.85</v>
      </c>
      <c r="H569" s="6"/>
    </row>
    <row r="570" spans="1:43" s="33" customFormat="1" ht="13" x14ac:dyDescent="0.3">
      <c r="D570" s="33">
        <f t="shared" si="134"/>
        <v>550</v>
      </c>
      <c r="E570" s="33" t="s">
        <v>575</v>
      </c>
      <c r="F570" s="33" t="s">
        <v>576</v>
      </c>
      <c r="G570" s="58">
        <v>2.94</v>
      </c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60"/>
      <c r="T570" s="60"/>
      <c r="U570" s="60"/>
      <c r="V570" s="60"/>
      <c r="W570" s="117"/>
      <c r="X570" s="60"/>
      <c r="Y570" s="60"/>
      <c r="Z570" s="60"/>
      <c r="AA570" s="60"/>
      <c r="AB570" s="127"/>
      <c r="AC570" s="106"/>
      <c r="AD570" s="106"/>
      <c r="AE570" s="106"/>
      <c r="AF570" s="106"/>
      <c r="AG570" s="106"/>
      <c r="AH570" s="106"/>
      <c r="AI570" s="106"/>
      <c r="AJ570" s="106"/>
      <c r="AK570" s="106"/>
      <c r="AO570" s="58"/>
      <c r="AP570" s="58"/>
      <c r="AQ570" s="58"/>
    </row>
    <row r="571" spans="1:43" x14ac:dyDescent="0.25">
      <c r="A571" s="1" t="s">
        <v>330</v>
      </c>
      <c r="D571">
        <f t="shared" si="134"/>
        <v>551</v>
      </c>
      <c r="E571" s="5" t="s">
        <v>579</v>
      </c>
      <c r="F571" t="s">
        <v>580</v>
      </c>
      <c r="G571" s="7">
        <v>1.73</v>
      </c>
      <c r="H571" s="6">
        <f>+G571*L571</f>
        <v>123.01856999999998</v>
      </c>
      <c r="I571" s="6">
        <f>[211]Main!$J$5-[211]Main!$J$6</f>
        <v>59.255000000000003</v>
      </c>
      <c r="J571" s="6">
        <f>+H571-I571</f>
        <v>63.76356999999998</v>
      </c>
      <c r="K571" s="6" t="s">
        <v>1990</v>
      </c>
      <c r="L571" s="6">
        <f>+[211]Main!$J$3</f>
        <v>71.108999999999995</v>
      </c>
      <c r="M571" s="9">
        <v>45929</v>
      </c>
    </row>
    <row r="572" spans="1:43" x14ac:dyDescent="0.25">
      <c r="D572">
        <f t="shared" si="134"/>
        <v>552</v>
      </c>
      <c r="E572" t="s">
        <v>559</v>
      </c>
      <c r="F572" t="s">
        <v>560</v>
      </c>
      <c r="G572" s="3">
        <v>1.51</v>
      </c>
    </row>
    <row r="573" spans="1:43" s="33" customFormat="1" ht="13" x14ac:dyDescent="0.3">
      <c r="D573" s="33">
        <f t="shared" si="134"/>
        <v>553</v>
      </c>
      <c r="E573" s="33" t="s">
        <v>561</v>
      </c>
      <c r="F573" s="33" t="s">
        <v>562</v>
      </c>
      <c r="G573" s="58">
        <v>1.87</v>
      </c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60"/>
      <c r="T573" s="60"/>
      <c r="U573" s="60"/>
      <c r="V573" s="60"/>
      <c r="W573" s="117"/>
      <c r="X573" s="60"/>
      <c r="Y573" s="60"/>
      <c r="Z573" s="60"/>
      <c r="AA573" s="60"/>
      <c r="AB573" s="127"/>
      <c r="AC573" s="106"/>
      <c r="AD573" s="106"/>
      <c r="AE573" s="106"/>
      <c r="AF573" s="106"/>
      <c r="AG573" s="106"/>
      <c r="AH573" s="106"/>
      <c r="AI573" s="106"/>
      <c r="AJ573" s="106"/>
      <c r="AK573" s="106"/>
      <c r="AO573" s="58"/>
      <c r="AP573" s="58"/>
      <c r="AQ573" s="58"/>
    </row>
    <row r="574" spans="1:43" ht="13" x14ac:dyDescent="0.3">
      <c r="D574">
        <f t="shared" si="134"/>
        <v>554</v>
      </c>
      <c r="E574" s="33" t="s">
        <v>563</v>
      </c>
      <c r="F574" s="33" t="s">
        <v>564</v>
      </c>
      <c r="G574"/>
    </row>
    <row r="575" spans="1:43" ht="13" x14ac:dyDescent="0.3">
      <c r="D575">
        <f t="shared" si="134"/>
        <v>555</v>
      </c>
      <c r="E575" s="33" t="s">
        <v>535</v>
      </c>
      <c r="F575" s="33" t="s">
        <v>536</v>
      </c>
    </row>
    <row r="576" spans="1:43" x14ac:dyDescent="0.25">
      <c r="D576">
        <f t="shared" si="134"/>
        <v>556</v>
      </c>
      <c r="E576" t="s">
        <v>537</v>
      </c>
      <c r="F576" t="s">
        <v>538</v>
      </c>
      <c r="G576" s="3">
        <v>1.88</v>
      </c>
    </row>
    <row r="577" spans="1:43" x14ac:dyDescent="0.25">
      <c r="D577">
        <f t="shared" si="134"/>
        <v>557</v>
      </c>
      <c r="E577" t="s">
        <v>539</v>
      </c>
      <c r="F577" t="s">
        <v>540</v>
      </c>
      <c r="G577" s="3">
        <v>13.42</v>
      </c>
    </row>
    <row r="578" spans="1:43" s="33" customFormat="1" ht="13" x14ac:dyDescent="0.3">
      <c r="D578" s="33">
        <f t="shared" si="134"/>
        <v>558</v>
      </c>
      <c r="E578" s="33" t="s">
        <v>543</v>
      </c>
      <c r="F578" s="33" t="s">
        <v>544</v>
      </c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60"/>
      <c r="T578" s="60"/>
      <c r="U578" s="60"/>
      <c r="V578" s="60"/>
      <c r="W578" s="117"/>
      <c r="X578" s="60"/>
      <c r="Y578" s="60"/>
      <c r="Z578" s="60"/>
      <c r="AA578" s="60"/>
      <c r="AB578" s="127"/>
      <c r="AC578" s="106"/>
      <c r="AD578" s="106"/>
      <c r="AE578" s="106"/>
      <c r="AF578" s="106"/>
      <c r="AG578" s="106"/>
      <c r="AH578" s="106"/>
      <c r="AI578" s="106"/>
      <c r="AJ578" s="106"/>
      <c r="AK578" s="106"/>
      <c r="AO578" s="58"/>
      <c r="AP578" s="58"/>
      <c r="AQ578" s="58"/>
    </row>
    <row r="579" spans="1:43" x14ac:dyDescent="0.25">
      <c r="D579">
        <f t="shared" si="134"/>
        <v>559</v>
      </c>
      <c r="E579" t="s">
        <v>545</v>
      </c>
      <c r="F579" t="s">
        <v>546</v>
      </c>
      <c r="G579" s="3">
        <v>2.72</v>
      </c>
    </row>
    <row r="580" spans="1:43" x14ac:dyDescent="0.25">
      <c r="D580">
        <f t="shared" si="134"/>
        <v>560</v>
      </c>
      <c r="E580" t="s">
        <v>547</v>
      </c>
      <c r="F580" t="s">
        <v>548</v>
      </c>
      <c r="G580" s="7">
        <v>6.93</v>
      </c>
    </row>
    <row r="581" spans="1:43" s="33" customFormat="1" ht="13" x14ac:dyDescent="0.3">
      <c r="D581" s="33">
        <f t="shared" si="134"/>
        <v>561</v>
      </c>
      <c r="E581" s="33" t="s">
        <v>986</v>
      </c>
      <c r="F581" s="33" t="s">
        <v>987</v>
      </c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60"/>
      <c r="T581" s="60"/>
      <c r="U581" s="60"/>
      <c r="V581" s="60"/>
      <c r="W581" s="117"/>
      <c r="X581" s="60"/>
      <c r="Y581" s="60"/>
      <c r="Z581" s="60"/>
      <c r="AA581" s="60"/>
      <c r="AB581" s="127"/>
      <c r="AC581" s="106"/>
      <c r="AD581" s="106"/>
      <c r="AE581" s="106"/>
      <c r="AF581" s="106"/>
      <c r="AG581" s="106"/>
      <c r="AH581" s="106"/>
      <c r="AI581" s="106"/>
      <c r="AJ581" s="106"/>
      <c r="AK581" s="106"/>
      <c r="AO581" s="58"/>
      <c r="AP581" s="58"/>
      <c r="AQ581" s="58"/>
    </row>
    <row r="582" spans="1:43" x14ac:dyDescent="0.25">
      <c r="D582">
        <f t="shared" si="134"/>
        <v>562</v>
      </c>
      <c r="E582" t="s">
        <v>553</v>
      </c>
      <c r="F582" t="s">
        <v>554</v>
      </c>
      <c r="G582" s="7">
        <v>2.9</v>
      </c>
    </row>
    <row r="583" spans="1:43" x14ac:dyDescent="0.25">
      <c r="D583">
        <f t="shared" si="134"/>
        <v>563</v>
      </c>
      <c r="E583" t="s">
        <v>567</v>
      </c>
      <c r="F583" t="s">
        <v>568</v>
      </c>
      <c r="G583" s="3">
        <v>0.38</v>
      </c>
    </row>
    <row r="584" spans="1:43" x14ac:dyDescent="0.25">
      <c r="A584"/>
      <c r="B584"/>
      <c r="C584"/>
      <c r="D584">
        <f t="shared" si="134"/>
        <v>564</v>
      </c>
      <c r="E584" t="s">
        <v>978</v>
      </c>
      <c r="F584" t="s">
        <v>979</v>
      </c>
      <c r="G584" s="3">
        <v>2.08</v>
      </c>
    </row>
    <row r="585" spans="1:43" s="33" customFormat="1" ht="13" x14ac:dyDescent="0.3">
      <c r="D585" s="33">
        <f t="shared" si="134"/>
        <v>565</v>
      </c>
      <c r="E585" s="33" t="s">
        <v>980</v>
      </c>
      <c r="F585" s="33" t="s">
        <v>981</v>
      </c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60"/>
      <c r="T585" s="60"/>
      <c r="U585" s="60"/>
      <c r="V585" s="60"/>
      <c r="W585" s="117"/>
      <c r="X585" s="60"/>
      <c r="Y585" s="60"/>
      <c r="Z585" s="60"/>
      <c r="AA585" s="60"/>
      <c r="AB585" s="127"/>
      <c r="AC585" s="106"/>
      <c r="AD585" s="106"/>
      <c r="AE585" s="106"/>
      <c r="AF585" s="106"/>
      <c r="AG585" s="106"/>
      <c r="AH585" s="106"/>
      <c r="AI585" s="106"/>
      <c r="AJ585" s="106"/>
      <c r="AK585" s="106"/>
      <c r="AO585" s="58"/>
      <c r="AP585" s="58"/>
      <c r="AQ585" s="58"/>
    </row>
    <row r="586" spans="1:43" x14ac:dyDescent="0.25">
      <c r="D586">
        <f t="shared" si="134"/>
        <v>566</v>
      </c>
      <c r="E586" s="5" t="s">
        <v>1187</v>
      </c>
      <c r="F586" s="39" t="s">
        <v>1188</v>
      </c>
      <c r="G586" s="7">
        <v>0.47</v>
      </c>
      <c r="H586" s="6">
        <f>+G586*L586</f>
        <v>53.977747369999996</v>
      </c>
      <c r="I586" s="6">
        <f>+[212]Main!$L$5-[212]Main!$L$6</f>
        <v>122.197</v>
      </c>
      <c r="J586" s="6">
        <f>+H586-I586</f>
        <v>-68.21925263</v>
      </c>
      <c r="K586" s="3" t="s">
        <v>1066</v>
      </c>
      <c r="L586" s="6">
        <f>+[212]Main!$L$3</f>
        <v>114.846271</v>
      </c>
      <c r="M586" s="9">
        <v>45567</v>
      </c>
    </row>
    <row r="587" spans="1:43" s="33" customFormat="1" ht="13" x14ac:dyDescent="0.3">
      <c r="D587" s="33">
        <f t="shared" si="134"/>
        <v>567</v>
      </c>
      <c r="E587" s="57" t="s">
        <v>188</v>
      </c>
      <c r="F587" s="33" t="s">
        <v>189</v>
      </c>
      <c r="G587" s="58">
        <v>7.36</v>
      </c>
      <c r="H587" s="35">
        <f>+G587*L587</f>
        <v>897.18233664000002</v>
      </c>
      <c r="I587" s="35">
        <f>+[213]Main!$J$5-[213]Main!$J$6</f>
        <v>601.58999999999992</v>
      </c>
      <c r="J587" s="35">
        <f>+H587-I587</f>
        <v>295.5923366400001</v>
      </c>
      <c r="K587" s="58" t="s">
        <v>15</v>
      </c>
      <c r="L587" s="35">
        <f>+[213]Main!$J$3</f>
        <v>121.89977399999999</v>
      </c>
      <c r="M587" s="59">
        <v>44827</v>
      </c>
      <c r="N587" s="58"/>
      <c r="O587" s="58"/>
      <c r="P587" s="58"/>
      <c r="Q587" s="58"/>
      <c r="R587" s="58"/>
      <c r="S587" s="60"/>
      <c r="T587" s="60"/>
      <c r="U587" s="60"/>
      <c r="V587" s="60"/>
      <c r="W587" s="117"/>
      <c r="X587" s="60"/>
      <c r="Y587" s="60"/>
      <c r="Z587" s="60"/>
      <c r="AA587" s="60"/>
      <c r="AB587" s="127"/>
      <c r="AC587" s="106"/>
      <c r="AD587" s="106"/>
      <c r="AE587" s="106"/>
      <c r="AF587" s="106"/>
      <c r="AG587" s="106"/>
      <c r="AH587" s="106"/>
      <c r="AI587" s="106"/>
      <c r="AJ587" s="106"/>
      <c r="AK587" s="106"/>
      <c r="AO587" s="58"/>
      <c r="AP587" s="58"/>
      <c r="AQ587" s="58"/>
    </row>
    <row r="588" spans="1:43" x14ac:dyDescent="0.25">
      <c r="A588"/>
      <c r="B588"/>
      <c r="C588"/>
      <c r="D588">
        <f t="shared" si="134"/>
        <v>568</v>
      </c>
      <c r="E588" s="5" t="s">
        <v>284</v>
      </c>
      <c r="F588" t="s">
        <v>285</v>
      </c>
      <c r="G588" s="7">
        <v>0.49</v>
      </c>
      <c r="H588" s="6">
        <f>+G588*L588</f>
        <v>71.728120799999999</v>
      </c>
      <c r="I588" s="6">
        <f>+[214]Main!$L$5-[214]Main!$L$6</f>
        <v>24.916284999999998</v>
      </c>
      <c r="J588" s="6">
        <f>+H588-I588</f>
        <v>46.811835799999997</v>
      </c>
      <c r="K588" s="3" t="s">
        <v>1272</v>
      </c>
      <c r="L588" s="6">
        <f>+[214]Main!$L$3</f>
        <v>146.38391999999999</v>
      </c>
      <c r="M588" s="9">
        <v>45684</v>
      </c>
    </row>
    <row r="589" spans="1:43" x14ac:dyDescent="0.25">
      <c r="A589"/>
      <c r="B589"/>
      <c r="C589"/>
      <c r="D589">
        <f t="shared" si="134"/>
        <v>569</v>
      </c>
      <c r="E589" s="5" t="s">
        <v>220</v>
      </c>
      <c r="F589" s="1" t="s">
        <v>221</v>
      </c>
      <c r="G589" s="3">
        <v>1.41</v>
      </c>
      <c r="H589" s="6">
        <f>+G589*L589</f>
        <v>80.467982309999996</v>
      </c>
      <c r="I589" s="6">
        <f>+[215]Main!$K$5-[215]Main!$K$6</f>
        <v>449.76100000000002</v>
      </c>
      <c r="J589" s="6">
        <f>+H589-I589</f>
        <v>-369.29301769000006</v>
      </c>
      <c r="K589" s="3" t="s">
        <v>415</v>
      </c>
      <c r="L589" s="6">
        <f>+[215]Main!$K$3</f>
        <v>57.069490999999999</v>
      </c>
      <c r="M589" s="9">
        <v>44947</v>
      </c>
      <c r="AL589" s="1">
        <v>2015</v>
      </c>
    </row>
    <row r="590" spans="1:43" x14ac:dyDescent="0.25">
      <c r="A590"/>
      <c r="B590"/>
      <c r="C590"/>
      <c r="D590">
        <f t="shared" si="134"/>
        <v>570</v>
      </c>
      <c r="E590" t="s">
        <v>794</v>
      </c>
      <c r="F590" t="s">
        <v>795</v>
      </c>
      <c r="G590" s="3">
        <v>6.82</v>
      </c>
      <c r="H590" s="6"/>
    </row>
    <row r="591" spans="1:43" s="33" customFormat="1" ht="13" x14ac:dyDescent="0.3">
      <c r="D591" s="33">
        <f t="shared" si="134"/>
        <v>571</v>
      </c>
      <c r="E591" s="33" t="s">
        <v>1420</v>
      </c>
      <c r="F591" s="33" t="s">
        <v>1421</v>
      </c>
      <c r="G591" s="34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60"/>
      <c r="T591" s="60"/>
      <c r="U591" s="60"/>
      <c r="V591" s="60"/>
      <c r="W591" s="117"/>
      <c r="X591" s="60"/>
      <c r="Y591" s="60"/>
      <c r="Z591" s="60"/>
      <c r="AA591" s="60"/>
      <c r="AB591" s="127"/>
      <c r="AC591" s="106"/>
      <c r="AD591" s="106"/>
      <c r="AE591" s="106"/>
      <c r="AF591" s="106"/>
      <c r="AG591" s="106"/>
      <c r="AH591" s="106"/>
      <c r="AI591" s="106"/>
      <c r="AJ591" s="106"/>
      <c r="AK591" s="106"/>
      <c r="AO591" s="58"/>
      <c r="AP591" s="58"/>
      <c r="AQ591" s="58"/>
    </row>
    <row r="592" spans="1:43" x14ac:dyDescent="0.25">
      <c r="A592"/>
      <c r="B592"/>
      <c r="C592"/>
      <c r="D592">
        <f t="shared" si="134"/>
        <v>572</v>
      </c>
      <c r="E592" s="1" t="s">
        <v>102</v>
      </c>
      <c r="F592" s="1" t="s">
        <v>103</v>
      </c>
      <c r="G592" s="3">
        <v>2.21</v>
      </c>
    </row>
    <row r="593" spans="4:11" x14ac:dyDescent="0.25">
      <c r="D593">
        <f t="shared" si="134"/>
        <v>573</v>
      </c>
      <c r="E593" s="1" t="s">
        <v>192</v>
      </c>
      <c r="F593" s="1" t="s">
        <v>193</v>
      </c>
      <c r="G593" s="3">
        <v>1.23</v>
      </c>
      <c r="H593" s="6">
        <v>823</v>
      </c>
    </row>
    <row r="594" spans="4:11" x14ac:dyDescent="0.25">
      <c r="D594">
        <f t="shared" si="134"/>
        <v>574</v>
      </c>
      <c r="E594" s="5" t="s">
        <v>236</v>
      </c>
      <c r="F594" s="1" t="s">
        <v>237</v>
      </c>
      <c r="G594" s="7">
        <v>0.12</v>
      </c>
      <c r="H594" s="6">
        <f>G594*[216]Main!$M$3</f>
        <v>22.103871479999999</v>
      </c>
      <c r="I594" s="6">
        <f>[216]Main!$M$5-[216]Main!$M$6</f>
        <v>-59.50200000000001</v>
      </c>
      <c r="J594" s="8">
        <f>+H594-I594</f>
        <v>81.605871480000005</v>
      </c>
      <c r="K594" s="3" t="s">
        <v>15</v>
      </c>
    </row>
  </sheetData>
  <sortState xmlns:xlrd2="http://schemas.microsoft.com/office/spreadsheetml/2017/richdata2" ref="A231:AL264">
    <sortCondition descending="1" ref="H231:H264"/>
  </sortState>
  <mergeCells count="2">
    <mergeCell ref="S2:AA2"/>
    <mergeCell ref="AB2:AK2"/>
  </mergeCells>
  <hyperlinks>
    <hyperlink ref="E33" r:id="rId1" xr:uid="{6FF5A7C4-E967-4A8C-98C2-533517D955D3}"/>
    <hyperlink ref="E226" r:id="rId2" xr:uid="{52D51FCE-D8B9-4E7A-96C8-567CE117B292}"/>
    <hyperlink ref="E97" r:id="rId3" xr:uid="{DA458948-233A-4185-8611-F2318EDCD7E0}"/>
    <hyperlink ref="E533" r:id="rId4" xr:uid="{0AE4DFE2-34F1-49A2-AD21-46729853C0D0}"/>
    <hyperlink ref="E124" r:id="rId5" xr:uid="{0DBAE889-A27C-45E0-80D0-D3F414F86969}"/>
    <hyperlink ref="E231" r:id="rId6" xr:uid="{058DC54B-6F58-47B5-B00D-CB85499F0661}"/>
    <hyperlink ref="E462" r:id="rId7" xr:uid="{807143AF-A3C2-49BA-9C78-345E0F157FEA}"/>
    <hyperlink ref="E142" r:id="rId8" xr:uid="{5E193E61-B494-46D3-AF42-146B98474000}"/>
    <hyperlink ref="E291" r:id="rId9" xr:uid="{20DCF829-19A3-4062-B8AE-97834426C5A7}"/>
    <hyperlink ref="E196" r:id="rId10" xr:uid="{D4B3056F-998E-4B3C-8AEF-3D59DF11E303}"/>
    <hyperlink ref="E530" r:id="rId11" xr:uid="{D4ADD5CD-3647-4E41-B10A-C723F8F8424C}"/>
    <hyperlink ref="E240" r:id="rId12" xr:uid="{47A87FA5-1146-48E8-B244-A94B0CA83AC7}"/>
    <hyperlink ref="E144" r:id="rId13" xr:uid="{AF3B2EDC-6A11-4D72-9C97-65F8240AC8CC}"/>
    <hyperlink ref="E247" r:id="rId14" xr:uid="{543E6BF9-7628-4E17-8A42-AAEB98280571}"/>
    <hyperlink ref="E328" r:id="rId15" xr:uid="{04F6E2F8-0E28-4361-A56D-8493B1E37977}"/>
    <hyperlink ref="E255" r:id="rId16" xr:uid="{0B62AF46-B5A8-4025-B905-264FBA7EE9C9}"/>
    <hyperlink ref="E347" r:id="rId17" xr:uid="{92CE33B1-E562-423A-9E1F-7E9F4178E2E8}"/>
    <hyperlink ref="E283" r:id="rId18" xr:uid="{41946CCF-4729-4906-9BE8-759A11881AB9}"/>
    <hyperlink ref="E300" r:id="rId19" xr:uid="{EE8895B8-5FF7-4421-8FE5-5787F49BCC4F}"/>
    <hyperlink ref="E299" r:id="rId20" xr:uid="{91F64F5F-6B03-44C5-B778-5A1712FEB861}"/>
    <hyperlink ref="E39" r:id="rId21" xr:uid="{7EDC7886-1579-4742-8C91-D6574074C886}"/>
    <hyperlink ref="E162" r:id="rId22" xr:uid="{F7788334-4957-4209-B7B8-FA109B172421}"/>
    <hyperlink ref="E89" r:id="rId23" xr:uid="{F15223F1-FB9A-4AF0-836B-A77FB29B77E9}"/>
    <hyperlink ref="E88" r:id="rId24" xr:uid="{DC8F952C-B71D-453A-8C72-328CD1481917}"/>
    <hyperlink ref="E482" r:id="rId25" xr:uid="{991BD3A8-6BEA-466B-AC05-60C7CBF181CB}"/>
    <hyperlink ref="E571" r:id="rId26" xr:uid="{95B3A7DC-07DE-427F-B670-761D5282CF5A}"/>
    <hyperlink ref="E309" r:id="rId27" xr:uid="{DDC7D031-978A-4A1F-9AD9-E06AB196A0CF}"/>
    <hyperlink ref="E422" r:id="rId28" xr:uid="{0F5C85DD-60FC-4904-9B31-0E2B75B65546}"/>
    <hyperlink ref="E298" r:id="rId29" xr:uid="{261A7145-1FA7-4DCC-A3A0-431B0C38DA5F}"/>
    <hyperlink ref="E185" r:id="rId30" xr:uid="{68F64B22-6B3E-4183-AD03-FDDABA17AC2B}"/>
    <hyperlink ref="E387" r:id="rId31" xr:uid="{CF64233D-5E27-4237-93F7-72F94CEED779}"/>
    <hyperlink ref="E15" r:id="rId32" xr:uid="{CCC45DFB-BF73-4A15-8527-F4C3C617F472}"/>
    <hyperlink ref="E365" r:id="rId33" xr:uid="{44177C56-7D67-4FF8-B936-0EF935FF1B5F}"/>
    <hyperlink ref="E122" r:id="rId34" xr:uid="{B0DE8762-012E-4A0E-8BF3-E6C9446E18BD}"/>
    <hyperlink ref="E326" r:id="rId35" xr:uid="{8FE86324-F4E0-40F3-A28B-942FDEC7D6E4}"/>
    <hyperlink ref="E186" r:id="rId36" xr:uid="{27C76475-566F-4D32-9C1A-13CA8106D463}"/>
    <hyperlink ref="E112" r:id="rId37" xr:uid="{D2FE86B3-4852-4B36-A676-E4C0EAECF9DF}"/>
    <hyperlink ref="E168" r:id="rId38" xr:uid="{60CEAB5A-AEFD-4A1A-AE36-6388775884A6}"/>
    <hyperlink ref="E105" r:id="rId39" xr:uid="{9F4AE380-FC68-48E0-95DA-205160A3646B}"/>
    <hyperlink ref="E414" r:id="rId40" xr:uid="{6C1AFFD3-C72A-4EC5-9C96-6ED79496D763}"/>
    <hyperlink ref="E465" r:id="rId41" xr:uid="{2B90B6AE-5270-499A-ACC5-93CF43195988}"/>
    <hyperlink ref="E472" r:id="rId42" xr:uid="{F4947070-5DBC-4DB5-89C2-5BF3AAF42097}"/>
    <hyperlink ref="E421" r:id="rId43" xr:uid="{C7EC599F-1BEA-45A7-9110-61C63AADB6EA}"/>
    <hyperlink ref="E141" r:id="rId44" xr:uid="{89A3EC98-D13D-4CF4-A6D0-7CE019243966}"/>
    <hyperlink ref="E301" r:id="rId45" xr:uid="{9F744E11-79B1-41BF-84C3-9DB6AA9D6A0A}"/>
    <hyperlink ref="E96" r:id="rId46" xr:uid="{3EBF05D2-CB49-4743-B497-44F343FEF925}"/>
    <hyperlink ref="E467" r:id="rId47" xr:uid="{C5D06361-EB49-48E0-A1D9-AF4AC610A623}"/>
    <hyperlink ref="E227" r:id="rId48" xr:uid="{F19BA876-8355-426C-9961-985F5221658A}"/>
    <hyperlink ref="E413" r:id="rId49" xr:uid="{7EF10422-26D7-4738-A7D3-E7994A8DAA2B}"/>
    <hyperlink ref="E302" r:id="rId50" xr:uid="{BB2D6CB0-9710-43BE-9C9C-96D4CB00CC27}"/>
    <hyperlink ref="E468" r:id="rId51" xr:uid="{F7B60A92-FEBA-4956-8C32-3DAD1956FCBE}"/>
    <hyperlink ref="E460" r:id="rId52" xr:uid="{63936724-7806-4858-BC51-BF317429A4D3}"/>
    <hyperlink ref="E444" r:id="rId53" xr:uid="{25A8908D-5EB4-416E-B88A-983D1FDD66C7}"/>
    <hyperlink ref="E284" r:id="rId54" xr:uid="{46E08616-E182-4770-A0EC-E67C429D363A}"/>
    <hyperlink ref="E229" r:id="rId55" xr:uid="{5741E758-F26D-41A7-976D-943D0B4BBA8C}"/>
    <hyperlink ref="E325" r:id="rId56" xr:uid="{F54AFBD3-3040-4478-815C-CC270DBC110E}"/>
    <hyperlink ref="E487" r:id="rId57" xr:uid="{FA2E0702-7573-4035-93EA-A0CE71143105}"/>
    <hyperlink ref="E505" r:id="rId58" xr:uid="{FD546B4F-FF4A-4365-A9F1-25C43D119A98}"/>
    <hyperlink ref="E504" r:id="rId59" xr:uid="{51D052A4-1B75-48F3-93AF-E8B1B96076CE}"/>
    <hyperlink ref="E27" r:id="rId60" xr:uid="{3481449D-1354-4BBE-B320-9EC407192702}"/>
    <hyperlink ref="E21" r:id="rId61" xr:uid="{C4B4660F-C5FF-4941-BE50-98ABDA101D7F}"/>
    <hyperlink ref="E13" r:id="rId62" xr:uid="{5ABD642F-31BA-4307-9A24-D75F9ABBBDAA}"/>
    <hyperlink ref="E10" r:id="rId63" xr:uid="{FE407E2D-0513-4C01-8F65-0FACC1AB5B97}"/>
    <hyperlink ref="E16" r:id="rId64" xr:uid="{3E3C29B0-B6B6-4941-A344-5D4A8066AA33}"/>
    <hyperlink ref="E22" r:id="rId65" xr:uid="{2A05959C-B3A5-4B78-ADA7-E471C7CE2630}"/>
    <hyperlink ref="E182" r:id="rId66" xr:uid="{3573C1AD-06BF-427D-B677-BD1F3CB3985C}"/>
    <hyperlink ref="E403" r:id="rId67" xr:uid="{5127CACD-341C-4DCA-B244-83466075BEBF}"/>
    <hyperlink ref="E104" r:id="rId68" xr:uid="{0E4C0ACB-35E3-43D4-B0E1-F865F7ED59B8}"/>
    <hyperlink ref="E307" r:id="rId69" xr:uid="{CE44BEA4-012D-4699-8F08-C58713DDB2BE}"/>
    <hyperlink ref="E406" r:id="rId70" xr:uid="{3714C986-B632-4E2F-8857-1DCA6DFD79FD}"/>
    <hyperlink ref="E101" r:id="rId71" xr:uid="{FCC7525B-426F-4D18-B356-CF6486A50A0F}"/>
    <hyperlink ref="E405" r:id="rId72" xr:uid="{4C62C768-C471-4E03-BD75-AF60DDF17283}"/>
    <hyperlink ref="E447" r:id="rId73" xr:uid="{35FB9AE4-5A31-48BA-9D76-BF10058F42EC}"/>
    <hyperlink ref="E379" r:id="rId74" xr:uid="{1292FD9E-BA4F-4B20-AD44-4B752114EEEF}"/>
    <hyperlink ref="E445" r:id="rId75" xr:uid="{3DD5CDF4-E650-429E-97DF-ABC116C3584D}"/>
    <hyperlink ref="E506" r:id="rId76" xr:uid="{8E820BFC-E26B-4A27-A962-89FF7A10589B}"/>
    <hyperlink ref="E451" r:id="rId77" xr:uid="{778D749F-0610-418A-A963-ADCD5A226677}"/>
    <hyperlink ref="E500" r:id="rId78" xr:uid="{66F30E61-4E4B-47C8-8D49-028CC77AA4C6}"/>
    <hyperlink ref="E503" r:id="rId79" xr:uid="{7592EF22-0CF5-48F3-8744-24868E314045}"/>
    <hyperlink ref="E446" r:id="rId80" xr:uid="{0F9B63DB-3B35-4E51-BD36-EC943559BF1E}"/>
    <hyperlink ref="E209" r:id="rId81" xr:uid="{F0EE4F6E-0A2F-4906-8143-739E8257E38C}"/>
    <hyperlink ref="E485" r:id="rId82" xr:uid="{0152517F-3480-4755-804B-768910043082}"/>
    <hyperlink ref="E386" r:id="rId83" xr:uid="{0695F03B-1E3F-0E41-B1ED-4F68787EFC35}"/>
    <hyperlink ref="E448" r:id="rId84" xr:uid="{C40615BB-48F8-4AB1-92A6-E4710DC43430}"/>
    <hyperlink ref="E502" r:id="rId85" xr:uid="{107ACC16-1AF2-463F-97B2-B3329D313681}"/>
    <hyperlink ref="E488" r:id="rId86" xr:uid="{B24388CE-B704-4189-8171-2A7C078385AA}"/>
    <hyperlink ref="E213" r:id="rId87" xr:uid="{C904B992-93FD-497A-93CC-2FE800E3CDD4}"/>
    <hyperlink ref="E203" r:id="rId88" xr:uid="{67670CCE-8D41-4404-8F2B-F79243E31585}"/>
    <hyperlink ref="E453" r:id="rId89" xr:uid="{D4B5A9D9-65BB-430A-A731-1152EA8D5DED}"/>
    <hyperlink ref="E450" r:id="rId90" xr:uid="{2B1AAFD9-D8D6-4616-841E-10108CC8192B}"/>
    <hyperlink ref="E297" r:id="rId91" xr:uid="{5BE55498-D8ED-41C4-A33E-57BE28B07449}"/>
    <hyperlink ref="E81" r:id="rId92" xr:uid="{96AAF9F5-B005-400B-B62E-90DC1A7E8852}"/>
    <hyperlink ref="E207" r:id="rId93" xr:uid="{31B2FC14-DD5D-4E0C-A012-B1FDA85DBE36}"/>
    <hyperlink ref="E53" r:id="rId94" xr:uid="{C35461B3-E679-4CC0-9362-2A53FE04533B}"/>
    <hyperlink ref="E197" r:id="rId95" xr:uid="{82A44C16-0029-4130-9750-D08BCC5182B4}"/>
    <hyperlink ref="E127" r:id="rId96" xr:uid="{CFB41F62-0690-4C3D-B6CD-811E3E94C4EE}"/>
    <hyperlink ref="E90" r:id="rId97" xr:uid="{96899701-8AB6-4B30-9017-19357666F340}"/>
    <hyperlink ref="E189" r:id="rId98" xr:uid="{C48A4FCA-0630-EF43-9EEC-B6CAB37EFE4F}"/>
    <hyperlink ref="E66" r:id="rId99" xr:uid="{7F559409-F96D-4010-8F92-37C722C2B828}"/>
    <hyperlink ref="E305" r:id="rId100" xr:uid="{ED761473-51F4-41BF-8401-76685055518C}"/>
    <hyperlink ref="E473" r:id="rId101" xr:uid="{6EE007AF-F0B0-4EED-9CDD-3FC2319822A5}"/>
    <hyperlink ref="E206" r:id="rId102" xr:uid="{A780315D-7EE1-43B1-808B-CA1A9B40DACC}"/>
    <hyperlink ref="E159" r:id="rId103" xr:uid="{0A7AB162-5181-4ECD-BE39-067356A9A255}"/>
    <hyperlink ref="E306" r:id="rId104" xr:uid="{909F79D0-EDBD-44C4-8C45-548124C5C81A}"/>
    <hyperlink ref="E14" r:id="rId105" xr:uid="{60368EA6-8CB5-4BF4-AD11-2511F2B2CC10}"/>
    <hyperlink ref="E123" r:id="rId106" xr:uid="{9DBA9CB6-4FFE-4633-8913-39BE132E7E63}"/>
    <hyperlink ref="E177" r:id="rId107" xr:uid="{7B9292BF-8007-4C13-92AA-E4F48B407B78}"/>
    <hyperlink ref="E521" r:id="rId108" xr:uid="{42ED5909-2E52-452C-9738-284A43C46BA0}"/>
    <hyperlink ref="E191" r:id="rId109" xr:uid="{05112419-511E-40D9-B365-E7FC8328F3E3}"/>
    <hyperlink ref="E67" r:id="rId110" xr:uid="{8515586A-C9D5-4B3A-AB81-567CAF8711D8}"/>
    <hyperlink ref="E280" r:id="rId111" xr:uid="{8452EEB1-E3C6-4709-93A8-E45683AE4BD4}"/>
    <hyperlink ref="E281" r:id="rId112" xr:uid="{18B5F0EF-CE16-458F-B2EC-C055E9592268}"/>
    <hyperlink ref="E348" r:id="rId113" xr:uid="{6E543356-A92B-4C40-A4D8-0039FD9CF30E}"/>
    <hyperlink ref="E586" r:id="rId114" xr:uid="{DCA25E80-5EA2-4E2F-B5AD-7E00734C912A}"/>
    <hyperlink ref="E501" r:id="rId115" xr:uid="{C5162717-DEF1-45A6-BAF5-F5909C72945C}"/>
    <hyperlink ref="E349" r:id="rId116" xr:uid="{F79A5FA4-445D-4428-8347-8E6CA8EBA325}"/>
    <hyperlink ref="E193" r:id="rId117" xr:uid="{7A0C9405-40F2-4CD9-999B-9032EC028C8E}"/>
    <hyperlink ref="E84" r:id="rId118" xr:uid="{B2C89E35-9AED-4A34-8767-FB6CD96F1DF7}"/>
    <hyperlink ref="E210" r:id="rId119" xr:uid="{A96FF32D-8546-4297-AE3C-E279BBEB2988}"/>
    <hyperlink ref="E64" r:id="rId120" xr:uid="{D16D1630-A1AE-4CF8-B35B-01F574ECC4EC}"/>
    <hyperlink ref="E85" r:id="rId121" xr:uid="{A739B306-7AF4-4BC1-B603-405E1AD42DA9}"/>
    <hyperlink ref="E217" r:id="rId122" xr:uid="{3C9F7D37-C376-486A-BD65-0A06F1A1BA4E}"/>
    <hyperlink ref="E355" r:id="rId123" xr:uid="{B8FF6BDF-ECF2-42BA-996C-B33320BF3BB8}"/>
    <hyperlink ref="E69" r:id="rId124" xr:uid="{FAC64BC1-A38C-4704-8DED-7AC1F6D784BD}"/>
    <hyperlink ref="E216" r:id="rId125" xr:uid="{80739158-DB58-4D0E-8015-4407904D5E4C}"/>
    <hyperlink ref="E199" r:id="rId126" xr:uid="{CEEF1ECE-36B3-482E-AA72-8B9DAE4D2730}"/>
    <hyperlink ref="E61" r:id="rId127" xr:uid="{3E4416C1-24BA-4833-B8A9-810255675E01}"/>
    <hyperlink ref="E282" r:id="rId128" xr:uid="{879666A1-6AD0-495B-B29D-1523E9F3BF37}"/>
    <hyperlink ref="E232" r:id="rId129" xr:uid="{E3F91124-A68C-481A-9F88-5F0B403E12FC}"/>
    <hyperlink ref="E353" r:id="rId130" xr:uid="{0E69FC1D-F608-42EA-B683-C53C409C70F7}"/>
    <hyperlink ref="E204" r:id="rId131" xr:uid="{4A53B476-D8D4-4433-B5B3-B626DD5ECAA5}"/>
    <hyperlink ref="E351" r:id="rId132" xr:uid="{820E74E5-32AF-43AF-A75C-37305E58D952}"/>
    <hyperlink ref="E86" r:id="rId133" xr:uid="{1C0EAF20-C59C-4E14-90E0-E67EED291627}"/>
    <hyperlink ref="E402" r:id="rId134" xr:uid="{B0C9190D-D136-462D-B004-BE374B10A4F0}"/>
    <hyperlink ref="E279" r:id="rId135" xr:uid="{47C928EF-242B-4B5F-9296-FA878004232C}"/>
    <hyperlink ref="E352" r:id="rId136" xr:uid="{C5AE6E9D-13C3-40F4-80F9-EB86590BF332}"/>
    <hyperlink ref="E143" r:id="rId137" xr:uid="{DEB94AB7-6F89-44AE-9C77-B3E2D1E51B70}"/>
    <hyperlink ref="E102" r:id="rId138" xr:uid="{8068ED1A-3B17-4C79-9022-B1BEE306CC58}"/>
    <hyperlink ref="E544" r:id="rId139" xr:uid="{91A036B5-0E03-4930-B738-BF1C076ACF18}"/>
    <hyperlink ref="E563" r:id="rId140" xr:uid="{DA843767-B487-45EC-B6B6-4CAF3C575C50}"/>
    <hyperlink ref="E183" r:id="rId141" xr:uid="{500E1EB4-5BFA-41DA-B498-9CADDCBC3BD8}"/>
    <hyperlink ref="E82" r:id="rId142" xr:uid="{8A039020-76D6-4648-8559-2E66BD4069E8}"/>
    <hyperlink ref="E70" r:id="rId143" xr:uid="{A9CCEE93-948C-4958-9273-229E876026E5}"/>
    <hyperlink ref="E208" r:id="rId144" xr:uid="{50F9FE65-F347-4AD5-8CB3-AEF68BBB9AA8}"/>
    <hyperlink ref="E157" r:id="rId145" xr:uid="{5E221389-B42A-4ECC-B5CE-DEA05F90F52F}"/>
    <hyperlink ref="E32" r:id="rId146" xr:uid="{EAE06527-C521-4E27-80DB-BF20330157C9}"/>
    <hyperlink ref="E140" r:id="rId147" xr:uid="{5475D411-362D-4662-900D-6279A7227B29}"/>
    <hyperlink ref="E152" r:id="rId148" xr:uid="{0F64F384-8187-4F0A-B6D5-472BB2A5904F}"/>
    <hyperlink ref="E486" r:id="rId149" xr:uid="{E9466C79-B428-4906-B5D4-8A65E345C46A}"/>
    <hyperlink ref="E37" r:id="rId150" xr:uid="{3556B95F-6CC1-4165-90C0-F95B358B441D}"/>
    <hyperlink ref="E20" r:id="rId151" xr:uid="{AA34EED3-260C-48F6-B18F-9CB2123B2DB8}"/>
    <hyperlink ref="E477" r:id="rId152" xr:uid="{E2D5EE7E-5721-5749-A98C-474C4C00D036}"/>
    <hyperlink ref="E449" r:id="rId153" xr:uid="{C4EB2FD5-19C2-4B46-A645-6A4B58B3BF48}"/>
    <hyperlink ref="E12" r:id="rId154" xr:uid="{D4CC8F9A-CC3B-EE41-860B-629E01D90BFD}"/>
    <hyperlink ref="E215" r:id="rId155" xr:uid="{2B6C4E35-2657-4D1A-8D80-C54F892964F4}"/>
    <hyperlink ref="E389" r:id="rId156" xr:uid="{C4CF7488-CAF7-4516-AB24-0FC50F0916A3}"/>
    <hyperlink ref="E151" r:id="rId157" xr:uid="{BACD6400-1341-654E-A5B2-576C65F8052B}"/>
    <hyperlink ref="E192" r:id="rId158" xr:uid="{8E97DA51-E6CD-4B11-B6F8-BD0A3CC93541}"/>
    <hyperlink ref="E228" r:id="rId159" xr:uid="{1924D31B-B6B9-4CB2-936E-0F68E40FA2F5}"/>
    <hyperlink ref="E211" r:id="rId160" xr:uid="{D181F941-FF02-423B-9F90-890B434046DD}"/>
    <hyperlink ref="E350" r:id="rId161" xr:uid="{172C358D-5501-4447-9FDE-DA046F6FED55}"/>
    <hyperlink ref="E354" r:id="rId162" xr:uid="{69AB4316-2FED-44FC-B108-3CD00D6F57B9}"/>
    <hyperlink ref="E77" r:id="rId163" xr:uid="{ADF59BEC-B8D8-4144-ADEB-041425B69409}"/>
    <hyperlink ref="E138" r:id="rId164" xr:uid="{ED810682-5208-4265-9E0E-6746A399EA34}"/>
    <hyperlink ref="E60" r:id="rId165" xr:uid="{CE56D1ED-1CAA-4667-A3D9-82426599D26C}"/>
    <hyperlink ref="E106" r:id="rId166" xr:uid="{1F24E207-02BC-4A1F-B083-69F8E95AC067}"/>
    <hyperlink ref="E58" r:id="rId167" xr:uid="{425EA3DE-2A59-4B96-B380-B688A4EDE233}"/>
    <hyperlink ref="E59" r:id="rId168" xr:uid="{C691BA46-1169-4CAF-84E5-2A83E1B5404A}"/>
    <hyperlink ref="E50" r:id="rId169" xr:uid="{02CB6FD9-C55D-44A1-9F2E-6A96A222EE6B}"/>
    <hyperlink ref="E51" r:id="rId170" xr:uid="{98D02B7D-F218-457E-B156-7FE773CF515A}"/>
    <hyperlink ref="E212" r:id="rId171" xr:uid="{C6F461C3-F385-4BE1-8914-0B22F9A9FF52}"/>
    <hyperlink ref="E62" r:id="rId172" xr:uid="{6FA4EBE7-4729-4097-A12F-CAD4CB58FFA6}"/>
    <hyperlink ref="E68" r:id="rId173" xr:uid="{AE3A3FD9-E651-4A72-81DB-B29CC61B516B}"/>
    <hyperlink ref="E205" r:id="rId174" xr:uid="{5F0313F8-3376-4F67-9822-E1412CAA5959}"/>
    <hyperlink ref="E42" r:id="rId175" xr:uid="{A902B26E-CA39-4DC5-9F23-4459D8D315E8}"/>
    <hyperlink ref="E83" r:id="rId176" xr:uid="{ED527D70-0B51-4151-8378-8C40B68FF19D}"/>
    <hyperlink ref="E214" r:id="rId177" xr:uid="{6E9AFF81-F520-4A86-9FC2-D5CFE68E7EB7}"/>
    <hyperlink ref="E589" r:id="rId178" xr:uid="{E48CD1EB-CFA1-47B1-BD8B-09F09CDD4FA4}"/>
    <hyperlink ref="E44" r:id="rId179" xr:uid="{144D13FD-59BD-499B-A0B4-B06985623C68}"/>
    <hyperlink ref="E31" r:id="rId180" xr:uid="{9DD12163-063E-4F73-89A5-34D8E8AC0534}"/>
    <hyperlink ref="E91" r:id="rId181" xr:uid="{DE2D1DDB-B5B7-4055-B885-0CD9E7670070}"/>
    <hyperlink ref="E56" r:id="rId182" xr:uid="{E9207892-DA1F-48D2-B2C3-EFA59FCA8A47}"/>
    <hyperlink ref="E34" r:id="rId183" xr:uid="{AD16E898-B1E4-4F25-8E21-E2BC1C6FE9AD}"/>
    <hyperlink ref="E38" r:id="rId184" xr:uid="{BC97A7B7-8716-48D0-BA90-60A75E6A24CE}"/>
    <hyperlink ref="E47" r:id="rId185" xr:uid="{01444C35-CEE7-41B7-B694-AE47417B7019}"/>
    <hyperlink ref="E52" r:id="rId186" xr:uid="{E248BEED-DD02-463E-BFAC-D02D5521E787}"/>
    <hyperlink ref="E48" r:id="rId187" xr:uid="{DD930D2F-20A9-46C3-8AA4-5E62A88271DB}"/>
    <hyperlink ref="E65" r:id="rId188" xr:uid="{F5D5A68A-4783-46B8-B717-79A0E802B6C4}"/>
    <hyperlink ref="E40" r:id="rId189" xr:uid="{76CA7CFE-7B9B-4C27-8561-3A158A30ED77}"/>
    <hyperlink ref="E63" r:id="rId190" xr:uid="{04E7711A-AB14-45D0-B73B-7EA804EC5564}"/>
    <hyperlink ref="E46" r:id="rId191" xr:uid="{5670E9A9-D014-4D7B-962A-54CBDC766969}"/>
    <hyperlink ref="E36" r:id="rId192" xr:uid="{203E18C7-425E-49E1-9AA5-204AFBE41E2D}"/>
    <hyperlink ref="E25" r:id="rId193" xr:uid="{5D73AAA9-EBCA-4613-83CF-E75D37F58B6D}"/>
    <hyperlink ref="E29" r:id="rId194" xr:uid="{3F36D809-73FC-441C-88D2-EEB42A40734A}"/>
    <hyperlink ref="E587" r:id="rId195" xr:uid="{6D062383-838D-42C7-BFCD-E5C9DC258548}"/>
    <hyperlink ref="E179" r:id="rId196" xr:uid="{9E4325F2-98CF-4735-96D0-66A9DC5A8E86}"/>
    <hyperlink ref="E304" r:id="rId197" xr:uid="{6A576FDB-A573-4A00-8381-4BECF13B35A1}"/>
    <hyperlink ref="E49" r:id="rId198" xr:uid="{559FAD8A-D620-4B93-BE14-CC22630BD57E}"/>
    <hyperlink ref="E71" r:id="rId199" xr:uid="{6930A656-C59A-465F-8634-B30B4FEF47BC}"/>
    <hyperlink ref="E57" r:id="rId200" xr:uid="{6A1F812B-EA91-4B3C-B4DC-88F792A7D0DE}"/>
    <hyperlink ref="E539" r:id="rId201" xr:uid="{C000061C-001D-4088-90A4-B672D181D3C5}"/>
    <hyperlink ref="E100" r:id="rId202" xr:uid="{25285F59-771C-40DB-8B78-E1E454C61406}"/>
    <hyperlink ref="E137" r:id="rId203" xr:uid="{E5739E03-9FE4-4D05-90C8-36ABF7D078CB}"/>
    <hyperlink ref="E265" r:id="rId204" xr:uid="{5FF32E6A-C6C7-4793-8271-BD230B9C7641}"/>
    <hyperlink ref="E190" r:id="rId205" xr:uid="{B83625D8-44D2-4842-9139-F29C8D5F2D8E}"/>
    <hyperlink ref="E588" r:id="rId206" xr:uid="{C3A06396-38CD-486E-9F4F-233A79292B4F}"/>
    <hyperlink ref="E41" r:id="rId207" xr:uid="{1C25970A-A568-4869-A34A-5C6C7551D812}"/>
    <hyperlink ref="E43" r:id="rId208" display="BeiGene" xr:uid="{D0EE43E7-C3F5-4256-99AE-DDCA9EC11DCF}"/>
    <hyperlink ref="E55" r:id="rId209" xr:uid="{A1C90F9B-FBBF-4C72-9A11-3798F692A0D2}"/>
    <hyperlink ref="E594" r:id="rId210" xr:uid="{11598046-2AED-42E7-ACA5-251A20A59427}"/>
    <hyperlink ref="E542" r:id="rId211" xr:uid="{D5FB3BFE-F0A8-4C09-90A1-9F506EF0ADE4}"/>
    <hyperlink ref="E303" r:id="rId212" xr:uid="{8B5BC1F5-14D4-45A0-B224-31FAF227EAF3}"/>
    <hyperlink ref="E543" r:id="rId213" xr:uid="{85368858-6D0F-4ABE-975C-AE5530342445}"/>
    <hyperlink ref="E308" r:id="rId214" xr:uid="{BBD267CB-7407-4913-9D05-6A6AA380019F}"/>
    <hyperlink ref="E541" r:id="rId215" xr:uid="{F6A45FC7-B73C-4143-9CAB-B3ADA19B5FD7}"/>
    <hyperlink ref="E538" r:id="rId216" xr:uid="{B3421391-7EC0-4253-8F62-5ED45A5BFA02}"/>
    <hyperlink ref="E540" r:id="rId217" xr:uid="{4ACA7C7F-E42A-4687-A776-AB8065DB40FF}"/>
    <hyperlink ref="E109" r:id="rId218" xr:uid="{14A63DAF-63A6-4B91-A2AF-AE28EA251457}"/>
    <hyperlink ref="E26" r:id="rId219" xr:uid="{61277D68-67DC-475B-9B61-B7E2F3017110}"/>
    <hyperlink ref="E30" r:id="rId220" xr:uid="{1F769FA7-6B90-4B6B-9BCC-7D6679675B06}"/>
    <hyperlink ref="E54" r:id="rId221" xr:uid="{6EF35D30-7113-4CE8-9077-C5BE97F74D36}"/>
    <hyperlink ref="E24" r:id="rId222" xr:uid="{A069369A-FB97-4A4A-A581-321FA79E4250}"/>
    <hyperlink ref="E18" r:id="rId223" xr:uid="{C2959A9B-7367-43D7-934F-562A915DC4DD}"/>
    <hyperlink ref="E7" r:id="rId224" xr:uid="{0888F4DA-9569-4326-990C-43015A33BD61}"/>
    <hyperlink ref="E23" r:id="rId225" xr:uid="{5A59EF45-A9EA-44F3-BECB-EFED8413DCF6}"/>
    <hyperlink ref="E19" r:id="rId226" xr:uid="{F9D09B0D-FACB-4CCA-872E-286E56965815}"/>
    <hyperlink ref="E35" r:id="rId227" xr:uid="{FC86E1B4-4BA7-43A8-8FCA-CC27867A7922}"/>
    <hyperlink ref="E28" r:id="rId228" xr:uid="{A38EC1E4-9170-422B-A9F5-3B6EB77DF40A}"/>
    <hyperlink ref="E5" r:id="rId229" xr:uid="{615921E7-8A8A-4F41-A8F3-1AF78A43F1AC}"/>
    <hyperlink ref="E9" r:id="rId230" xr:uid="{8513C491-1620-4390-AB90-9384BB1A043B}"/>
    <hyperlink ref="E11" r:id="rId231" xr:uid="{686D20FF-3704-45CC-8366-56508FB00F00}"/>
    <hyperlink ref="E17" r:id="rId232" xr:uid="{087C38CF-D4BE-425F-8F38-C4129E6AE209}"/>
    <hyperlink ref="E8" r:id="rId233" xr:uid="{C156021C-BE99-4BC0-AA7F-F8904621CB69}"/>
    <hyperlink ref="E6" r:id="rId234" xr:uid="{31FFFB9E-A269-4EC0-9451-78F4F00A4890}"/>
    <hyperlink ref="E108" r:id="rId235" xr:uid="{4455E1D2-0A06-49CD-B578-A39396AB2276}"/>
    <hyperlink ref="E188" r:id="rId236" xr:uid="{64B386A5-32AA-479A-BF21-CAB85694C43C}"/>
    <hyperlink ref="E45" r:id="rId237" xr:uid="{33DB62D5-76B8-46FA-B016-7EA0A385874F}"/>
  </hyperlinks>
  <pageMargins left="0.7" right="0.7" top="0.75" bottom="0.75" header="0.3" footer="0.3"/>
  <pageSetup paperSize="9" orientation="portrait" r:id="rId238"/>
  <legacyDrawing r:id="rId2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0E2E-D38E-4848-BCC1-41D62ADD15A0}">
  <dimension ref="A2:AP61"/>
  <sheetViews>
    <sheetView zoomScale="175" zoomScaleNormal="175" workbookViewId="0">
      <pane xSplit="3" ySplit="2" topLeftCell="D23" activePane="bottomRight" state="frozen"/>
      <selection pane="topRight" activeCell="D1" sqref="D1"/>
      <selection pane="bottomLeft" activeCell="A3" sqref="A3"/>
      <selection pane="bottomRight" activeCell="C57" sqref="C57"/>
    </sheetView>
  </sheetViews>
  <sheetFormatPr defaultColWidth="8.81640625" defaultRowHeight="12.5" x14ac:dyDescent="0.25"/>
  <cols>
    <col min="1" max="1" width="2" bestFit="1" customWidth="1"/>
    <col min="2" max="2" width="3" bestFit="1" customWidth="1"/>
    <col min="3" max="3" width="22.453125" bestFit="1" customWidth="1"/>
    <col min="4" max="4" width="10.1796875" bestFit="1" customWidth="1"/>
  </cols>
  <sheetData>
    <row r="2" spans="1:42" x14ac:dyDescent="0.25">
      <c r="C2" t="s">
        <v>1</v>
      </c>
    </row>
    <row r="3" spans="1:42" s="1" customFormat="1" x14ac:dyDescent="0.25">
      <c r="A3" s="87" t="s">
        <v>330</v>
      </c>
      <c r="B3" s="1">
        <f>Acquisitions!A14+1</f>
        <v>1</v>
      </c>
      <c r="C3" t="s">
        <v>257</v>
      </c>
      <c r="D3" t="s">
        <v>258</v>
      </c>
      <c r="E3" s="3"/>
      <c r="F3" s="3"/>
      <c r="G3" s="3"/>
      <c r="H3" s="3"/>
      <c r="I3" s="3"/>
      <c r="J3" s="3"/>
      <c r="K3" s="9"/>
      <c r="L3" s="3"/>
      <c r="M3" s="3"/>
      <c r="N3" s="3"/>
      <c r="O3" s="3"/>
      <c r="P3" s="3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42" s="1" customFormat="1" x14ac:dyDescent="0.25">
      <c r="A4" s="1" t="s">
        <v>330</v>
      </c>
      <c r="B4" s="1">
        <v>2</v>
      </c>
      <c r="C4" s="5" t="s">
        <v>405</v>
      </c>
      <c r="D4" t="s">
        <v>406</v>
      </c>
      <c r="E4" s="18">
        <v>32.18</v>
      </c>
      <c r="F4" s="6">
        <f>+E4*J4/CNY</f>
        <v>27483.039425387869</v>
      </c>
      <c r="G4" s="6">
        <f>([217]Main!$J$5-[217]Main!$J$6)/CNY</f>
        <v>4552.9834978843446</v>
      </c>
      <c r="H4" s="6">
        <f>F4-G4</f>
        <v>22930.055927503527</v>
      </c>
      <c r="I4" s="3" t="s">
        <v>2004</v>
      </c>
      <c r="J4" s="6">
        <f>+[217]Main!$J$3</f>
        <v>6055.1507000000001</v>
      </c>
      <c r="K4" s="9">
        <v>46235</v>
      </c>
      <c r="N4" s="3"/>
      <c r="O4" s="3"/>
      <c r="P4" s="3"/>
      <c r="Q4" s="3"/>
      <c r="R4" s="3"/>
      <c r="S4" s="4"/>
      <c r="T4" s="4"/>
      <c r="U4" s="4"/>
      <c r="V4" s="4"/>
      <c r="W4" s="112"/>
      <c r="X4" s="4"/>
      <c r="Y4" s="4"/>
      <c r="Z4" s="4"/>
      <c r="AA4" s="4"/>
      <c r="AB4" s="61"/>
      <c r="AC4" s="61"/>
      <c r="AD4" s="61"/>
      <c r="AE4" s="61"/>
      <c r="AF4" s="61"/>
      <c r="AG4" s="61"/>
      <c r="AH4" s="61"/>
      <c r="AI4" s="61"/>
      <c r="AJ4" s="61"/>
      <c r="AK4" s="1">
        <v>1995</v>
      </c>
      <c r="AN4" s="3"/>
      <c r="AO4" s="3"/>
      <c r="AP4" s="3"/>
    </row>
    <row r="5" spans="1:42" s="1" customFormat="1" x14ac:dyDescent="0.25">
      <c r="A5" t="s">
        <v>330</v>
      </c>
      <c r="B5">
        <v>3</v>
      </c>
      <c r="C5" t="s">
        <v>303</v>
      </c>
      <c r="D5" t="s">
        <v>304</v>
      </c>
      <c r="E5" s="18">
        <v>92.9</v>
      </c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4"/>
      <c r="T5" s="4"/>
      <c r="U5" s="4"/>
      <c r="V5" s="4"/>
      <c r="W5" s="112"/>
      <c r="X5" s="4"/>
      <c r="Y5" s="4"/>
      <c r="Z5" s="4"/>
      <c r="AA5" s="4"/>
      <c r="AB5" s="61"/>
      <c r="AC5" s="61"/>
      <c r="AD5" s="61"/>
      <c r="AE5" s="61"/>
      <c r="AF5" s="61"/>
      <c r="AG5" s="61"/>
      <c r="AH5" s="61"/>
      <c r="AI5" s="61"/>
      <c r="AJ5" s="61"/>
      <c r="AK5" s="1">
        <v>2011</v>
      </c>
      <c r="AN5" s="3"/>
      <c r="AO5" s="3"/>
      <c r="AP5" s="3"/>
    </row>
    <row r="6" spans="1:42" s="1" customFormat="1" x14ac:dyDescent="0.25">
      <c r="A6" t="s">
        <v>330</v>
      </c>
      <c r="B6">
        <v>4</v>
      </c>
      <c r="C6" t="s">
        <v>2083</v>
      </c>
      <c r="D6" t="s">
        <v>2084</v>
      </c>
      <c r="E6" s="18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 s="4"/>
      <c r="AB6" s="61"/>
      <c r="AC6" s="61"/>
      <c r="AD6" s="61"/>
      <c r="AE6" s="61"/>
      <c r="AF6" s="61"/>
      <c r="AG6" s="61"/>
      <c r="AH6" s="61"/>
      <c r="AI6" s="61"/>
      <c r="AJ6" s="61"/>
      <c r="AN6" s="3"/>
      <c r="AO6" s="3"/>
      <c r="AP6" s="3"/>
    </row>
    <row r="7" spans="1:42" x14ac:dyDescent="0.25">
      <c r="A7" t="s">
        <v>330</v>
      </c>
      <c r="B7" s="1">
        <v>5</v>
      </c>
      <c r="C7" s="1" t="s">
        <v>1110</v>
      </c>
      <c r="D7" t="s">
        <v>1111</v>
      </c>
    </row>
    <row r="8" spans="1:42" s="1" customFormat="1" x14ac:dyDescent="0.25">
      <c r="A8" t="s">
        <v>330</v>
      </c>
      <c r="B8">
        <v>6</v>
      </c>
      <c r="C8" t="s">
        <v>354</v>
      </c>
      <c r="D8" t="s">
        <v>355</v>
      </c>
      <c r="E8" s="18">
        <v>9.66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4"/>
      <c r="T8" s="4"/>
      <c r="U8" s="4"/>
      <c r="V8" s="4"/>
      <c r="W8" s="112"/>
      <c r="X8" s="4"/>
      <c r="Y8" s="4"/>
      <c r="Z8" s="4"/>
      <c r="AA8" s="4"/>
      <c r="AB8" s="61"/>
      <c r="AC8" s="61"/>
      <c r="AD8" s="61"/>
      <c r="AE8" s="61"/>
      <c r="AF8" s="61"/>
      <c r="AG8" s="61"/>
      <c r="AH8" s="61"/>
      <c r="AI8" s="61"/>
      <c r="AJ8" s="61"/>
      <c r="AN8" s="3"/>
      <c r="AO8" s="3"/>
      <c r="AP8" s="3"/>
    </row>
    <row r="9" spans="1:42" s="1" customFormat="1" x14ac:dyDescent="0.25">
      <c r="A9" t="s">
        <v>330</v>
      </c>
      <c r="B9" s="1">
        <v>7</v>
      </c>
      <c r="C9" t="s">
        <v>263</v>
      </c>
      <c r="D9" t="s">
        <v>264</v>
      </c>
      <c r="E9" s="6"/>
      <c r="F9" s="3"/>
      <c r="G9" s="3"/>
      <c r="H9" s="3"/>
      <c r="I9" s="3"/>
      <c r="J9" s="3"/>
      <c r="K9" s="9"/>
      <c r="L9" s="3"/>
      <c r="M9" s="3"/>
      <c r="N9" s="3"/>
      <c r="O9" s="3"/>
      <c r="P9" s="3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42" s="1" customFormat="1" x14ac:dyDescent="0.25">
      <c r="A10" t="s">
        <v>330</v>
      </c>
      <c r="B10" s="1">
        <v>8</v>
      </c>
      <c r="C10" s="5" t="s">
        <v>403</v>
      </c>
      <c r="D10" t="s">
        <v>404</v>
      </c>
      <c r="E10" s="18">
        <v>5.03</v>
      </c>
      <c r="F10" s="6">
        <f>+E10*J10/HKD</f>
        <v>11870.994563624359</v>
      </c>
      <c r="G10" s="6">
        <f>([218]Main!$K$5-[218]Main!$K$6)/HKD</f>
        <v>3986.4565384615375</v>
      </c>
      <c r="H10" s="6">
        <f>F10-G10</f>
        <v>7884.5380251628212</v>
      </c>
      <c r="I10" s="3" t="s">
        <v>1066</v>
      </c>
      <c r="J10" s="6">
        <f>+[218]Main!$K$3</f>
        <v>18408.301708999999</v>
      </c>
      <c r="K10" s="9">
        <v>45539</v>
      </c>
      <c r="N10" s="3"/>
      <c r="O10" s="3"/>
      <c r="P10" s="3"/>
      <c r="Q10" s="3"/>
      <c r="R10" s="3"/>
      <c r="S10" s="4"/>
      <c r="T10" s="4"/>
      <c r="U10" s="4"/>
      <c r="V10" s="4"/>
      <c r="W10" s="112"/>
      <c r="X10" s="4"/>
      <c r="Y10" s="4"/>
      <c r="Z10" s="4"/>
      <c r="AA10" s="4"/>
      <c r="AB10" s="61"/>
      <c r="AC10" s="61"/>
      <c r="AD10" s="61"/>
      <c r="AE10" s="61"/>
      <c r="AF10" s="61"/>
      <c r="AG10" s="61"/>
      <c r="AH10" s="61"/>
      <c r="AI10" s="61"/>
      <c r="AJ10" s="61"/>
      <c r="AN10" s="3"/>
      <c r="AO10" s="3"/>
      <c r="AP10" s="3"/>
    </row>
    <row r="11" spans="1:42" x14ac:dyDescent="0.25">
      <c r="A11" t="s">
        <v>330</v>
      </c>
      <c r="B11">
        <v>9</v>
      </c>
      <c r="C11" t="s">
        <v>2086</v>
      </c>
      <c r="D11" t="s">
        <v>2087</v>
      </c>
    </row>
    <row r="12" spans="1:42" s="1" customFormat="1" x14ac:dyDescent="0.25">
      <c r="A12" t="s">
        <v>330</v>
      </c>
      <c r="B12">
        <v>10</v>
      </c>
      <c r="C12" t="s">
        <v>1142</v>
      </c>
      <c r="D12" s="1" t="s">
        <v>1143</v>
      </c>
      <c r="E12" s="18">
        <v>152.1</v>
      </c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4"/>
      <c r="T12" s="4"/>
      <c r="U12" s="4"/>
      <c r="V12" s="4"/>
      <c r="W12" s="112"/>
      <c r="X12" s="4"/>
      <c r="Y12" s="4"/>
      <c r="Z12" s="4"/>
      <c r="AA12" s="4"/>
      <c r="AB12" s="61"/>
      <c r="AC12" s="61"/>
      <c r="AD12" s="61"/>
      <c r="AE12" s="61"/>
      <c r="AF12" s="61"/>
      <c r="AG12" s="61"/>
      <c r="AH12" s="61"/>
      <c r="AI12" s="61"/>
      <c r="AJ12" s="61"/>
      <c r="AN12" s="3"/>
      <c r="AO12" s="3"/>
      <c r="AP12" s="3"/>
    </row>
    <row r="13" spans="1:42" s="1" customFormat="1" x14ac:dyDescent="0.25">
      <c r="A13" t="s">
        <v>330</v>
      </c>
      <c r="B13">
        <v>11</v>
      </c>
      <c r="C13" t="s">
        <v>432</v>
      </c>
      <c r="D13" t="s">
        <v>1847</v>
      </c>
      <c r="E13" s="18">
        <v>404.2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4"/>
      <c r="T13" s="4"/>
      <c r="U13" s="4"/>
      <c r="V13" s="4"/>
      <c r="W13" s="112"/>
      <c r="X13" s="4"/>
      <c r="Y13" s="4"/>
      <c r="Z13" s="4"/>
      <c r="AA13" s="4"/>
      <c r="AB13" s="61"/>
      <c r="AC13" s="61"/>
      <c r="AD13" s="61"/>
      <c r="AE13" s="61"/>
      <c r="AF13" s="61"/>
      <c r="AG13" s="61"/>
      <c r="AH13" s="61"/>
      <c r="AI13" s="61"/>
      <c r="AJ13" s="61"/>
      <c r="AN13" s="3"/>
      <c r="AO13" s="3"/>
      <c r="AP13" s="3"/>
    </row>
    <row r="14" spans="1:42" x14ac:dyDescent="0.25">
      <c r="A14" t="s">
        <v>330</v>
      </c>
      <c r="B14">
        <v>12</v>
      </c>
      <c r="C14" t="s">
        <v>432</v>
      </c>
      <c r="D14" s="22" t="s">
        <v>686</v>
      </c>
      <c r="E14" s="3">
        <v>27.98</v>
      </c>
      <c r="F14" s="6" cm="1">
        <f t="array" ref="F14">40290/CNY</f>
        <v>5682.6516220028207</v>
      </c>
    </row>
    <row r="15" spans="1:42" s="1" customFormat="1" x14ac:dyDescent="0.25">
      <c r="A15" t="s">
        <v>330</v>
      </c>
      <c r="B15">
        <v>13</v>
      </c>
      <c r="C15" t="s">
        <v>1852</v>
      </c>
      <c r="D15" t="s">
        <v>1853</v>
      </c>
      <c r="E15" s="18">
        <v>57.55</v>
      </c>
      <c r="H15" s="6"/>
      <c r="I15" s="6"/>
      <c r="J15" s="6"/>
      <c r="K15" s="3"/>
      <c r="L15" s="6"/>
      <c r="M15" s="9"/>
      <c r="N15" s="3"/>
      <c r="O15" s="3"/>
      <c r="P15" s="3"/>
      <c r="Q15" s="3"/>
      <c r="R15" s="3"/>
      <c r="S15" s="4"/>
      <c r="T15" s="4"/>
      <c r="U15" s="4"/>
      <c r="V15" s="4"/>
      <c r="W15" s="112"/>
      <c r="X15" s="4"/>
      <c r="Y15" s="4"/>
      <c r="Z15" s="4"/>
      <c r="AA15" s="4"/>
      <c r="AB15" s="61"/>
      <c r="AC15" s="61"/>
      <c r="AD15" s="61"/>
      <c r="AE15" s="61"/>
      <c r="AF15" s="61"/>
      <c r="AG15" s="61"/>
      <c r="AH15" s="61"/>
      <c r="AI15" s="61"/>
      <c r="AJ15" s="61"/>
      <c r="AN15" s="3"/>
      <c r="AO15" s="3"/>
      <c r="AP15" s="3"/>
    </row>
    <row r="16" spans="1:42" s="1" customFormat="1" x14ac:dyDescent="0.25">
      <c r="A16" t="s">
        <v>330</v>
      </c>
      <c r="B16">
        <v>14</v>
      </c>
      <c r="C16" t="s">
        <v>2092</v>
      </c>
      <c r="D16" t="s">
        <v>2093</v>
      </c>
      <c r="E16" s="18"/>
      <c r="H16" s="6"/>
      <c r="I16" s="6"/>
      <c r="J16" s="6"/>
      <c r="K16" s="3"/>
      <c r="L16" s="6"/>
      <c r="M16" s="9"/>
      <c r="N16" s="3"/>
      <c r="O16" s="3"/>
      <c r="P16" s="3"/>
      <c r="Q16" s="3"/>
      <c r="R16" s="3"/>
      <c r="S16" s="4"/>
      <c r="T16" s="4"/>
      <c r="U16" s="4"/>
      <c r="V16" s="4"/>
      <c r="W16" s="112"/>
      <c r="X16" s="4"/>
      <c r="Y16" s="4"/>
      <c r="Z16" s="4"/>
      <c r="AA16" s="4"/>
      <c r="AB16" s="61"/>
      <c r="AC16" s="61"/>
      <c r="AD16" s="61"/>
      <c r="AE16" s="61"/>
      <c r="AF16" s="61"/>
      <c r="AG16" s="61"/>
      <c r="AH16" s="61"/>
      <c r="AI16" s="61"/>
      <c r="AJ16" s="61"/>
      <c r="AN16" s="3"/>
      <c r="AO16" s="3"/>
      <c r="AP16" s="3"/>
    </row>
    <row r="17" spans="1:42" x14ac:dyDescent="0.25">
      <c r="A17" t="s">
        <v>330</v>
      </c>
      <c r="B17" s="1">
        <v>15</v>
      </c>
      <c r="C17" s="5" t="s">
        <v>377</v>
      </c>
      <c r="D17" t="s">
        <v>378</v>
      </c>
      <c r="E17" s="44">
        <v>23.23</v>
      </c>
      <c r="F17" s="30">
        <f>+E17*J17/CNY</f>
        <v>8755.9692604414668</v>
      </c>
      <c r="G17" s="6">
        <f>([219]Main!$K$6-[219]Main!$K$7)/CNY</f>
        <v>-2662.9055007052189</v>
      </c>
      <c r="H17" s="6">
        <f>+F17-G17</f>
        <v>11418.874761146686</v>
      </c>
      <c r="I17" s="3" t="s">
        <v>1109</v>
      </c>
      <c r="J17" s="6">
        <f>+[219]Main!$K$4</f>
        <v>2672.3987109999998</v>
      </c>
      <c r="K17" s="9">
        <v>45542</v>
      </c>
      <c r="W17" s="115"/>
      <c r="AB17" s="39"/>
      <c r="AC17" s="39"/>
      <c r="AD17" s="39"/>
      <c r="AE17" s="39"/>
      <c r="AF17" s="39"/>
      <c r="AG17" s="39"/>
      <c r="AH17" s="39"/>
      <c r="AI17" s="39"/>
      <c r="AJ17" s="39"/>
      <c r="AN17" s="27"/>
      <c r="AO17" s="27"/>
      <c r="AP17" s="27"/>
    </row>
    <row r="18" spans="1:42" s="1" customFormat="1" x14ac:dyDescent="0.25">
      <c r="A18" t="s">
        <v>330</v>
      </c>
      <c r="B18">
        <v>15</v>
      </c>
      <c r="C18" s="5" t="s">
        <v>377</v>
      </c>
      <c r="D18" t="s">
        <v>379</v>
      </c>
      <c r="E18" s="18">
        <v>16.420000000000002</v>
      </c>
      <c r="F18" s="6">
        <f>+E18*J18/HKD</f>
        <v>5625.7419018743594</v>
      </c>
      <c r="G18" s="6">
        <f>([219]Main!$K$6-[219]Main!$K$7)/CNY</f>
        <v>-2662.9055007052189</v>
      </c>
      <c r="H18" s="6">
        <f>+F18-G18</f>
        <v>8288.6474025795778</v>
      </c>
      <c r="I18" s="3" t="s">
        <v>1109</v>
      </c>
      <c r="J18" s="6">
        <f>+[219]Main!$K$4</f>
        <v>2672.3987109999998</v>
      </c>
      <c r="K18" s="9">
        <v>45542</v>
      </c>
      <c r="N18" s="3"/>
      <c r="O18" s="3"/>
      <c r="P18" s="3"/>
      <c r="Q18" s="3"/>
      <c r="R18" s="3"/>
      <c r="S18" s="4"/>
      <c r="T18" s="4"/>
      <c r="U18" s="4"/>
      <c r="V18" s="4"/>
      <c r="W18" s="112"/>
      <c r="X18" s="4"/>
      <c r="Y18" s="4"/>
      <c r="Z18" s="4"/>
      <c r="AA18" s="4"/>
      <c r="AB18" s="61"/>
      <c r="AC18" s="61"/>
      <c r="AD18" s="61"/>
      <c r="AE18" s="61"/>
      <c r="AF18" s="61"/>
      <c r="AG18" s="61"/>
      <c r="AH18" s="61"/>
      <c r="AI18" s="61"/>
      <c r="AJ18" s="61"/>
      <c r="AN18" s="3"/>
      <c r="AO18" s="3"/>
      <c r="AP18" s="3"/>
    </row>
    <row r="19" spans="1:42" s="1" customFormat="1" x14ac:dyDescent="0.25">
      <c r="A19" t="s">
        <v>330</v>
      </c>
      <c r="B19">
        <v>16</v>
      </c>
      <c r="C19" t="s">
        <v>2088</v>
      </c>
      <c r="D19" t="s">
        <v>2089</v>
      </c>
      <c r="E19" s="18"/>
      <c r="F19" s="6"/>
      <c r="G19" s="6"/>
      <c r="H19" s="6"/>
      <c r="I19" s="3"/>
      <c r="J19" s="6"/>
      <c r="K19" s="9"/>
      <c r="N19" s="3"/>
      <c r="O19" s="3"/>
      <c r="P19" s="3"/>
      <c r="Q19" s="3"/>
      <c r="R19" s="3"/>
      <c r="S19" s="4"/>
      <c r="T19" s="4"/>
      <c r="U19" s="4"/>
      <c r="V19" s="4"/>
      <c r="W19" s="4"/>
      <c r="X19" s="4"/>
      <c r="Y19" s="4"/>
      <c r="Z19" s="4"/>
      <c r="AA19" s="4"/>
      <c r="AB19" s="61"/>
      <c r="AC19" s="61"/>
      <c r="AD19" s="61"/>
      <c r="AE19" s="61"/>
      <c r="AF19" s="61"/>
      <c r="AG19" s="61"/>
      <c r="AH19" s="61"/>
      <c r="AI19" s="61"/>
      <c r="AJ19" s="61"/>
      <c r="AN19" s="3"/>
      <c r="AO19" s="3"/>
      <c r="AP19" s="3"/>
    </row>
    <row r="20" spans="1:42" s="1" customFormat="1" x14ac:dyDescent="0.25">
      <c r="A20" t="s">
        <v>330</v>
      </c>
      <c r="B20">
        <v>17</v>
      </c>
      <c r="C20" t="s">
        <v>2090</v>
      </c>
      <c r="D20" t="s">
        <v>2091</v>
      </c>
      <c r="E20" s="18"/>
      <c r="F20" s="6"/>
      <c r="G20" s="6"/>
      <c r="H20" s="6"/>
      <c r="I20" s="3"/>
      <c r="J20" s="6"/>
      <c r="K20" s="9"/>
      <c r="N20" s="3"/>
      <c r="O20" s="3"/>
      <c r="P20" s="3"/>
      <c r="Q20" s="3"/>
      <c r="R20" s="3"/>
      <c r="S20" s="4"/>
      <c r="T20" s="4"/>
      <c r="U20" s="4"/>
      <c r="V20" s="4"/>
      <c r="W20" s="4"/>
      <c r="X20" s="4"/>
      <c r="Y20" s="4"/>
      <c r="Z20" s="4"/>
      <c r="AA20" s="4"/>
      <c r="AB20" s="61"/>
      <c r="AC20" s="61"/>
      <c r="AD20" s="61"/>
      <c r="AE20" s="61"/>
      <c r="AF20" s="61"/>
      <c r="AG20" s="61"/>
      <c r="AH20" s="61"/>
      <c r="AI20" s="61"/>
      <c r="AJ20" s="61"/>
      <c r="AN20" s="3"/>
      <c r="AO20" s="3"/>
      <c r="AP20" s="3"/>
    </row>
    <row r="21" spans="1:42" s="1" customFormat="1" x14ac:dyDescent="0.25">
      <c r="A21" t="s">
        <v>330</v>
      </c>
      <c r="B21">
        <v>29</v>
      </c>
      <c r="C21" t="s">
        <v>399</v>
      </c>
      <c r="D21" t="s">
        <v>400</v>
      </c>
      <c r="E21" s="3"/>
      <c r="F21" s="3"/>
      <c r="G21" s="3"/>
      <c r="H21" s="3"/>
      <c r="I21" s="3"/>
      <c r="J21" s="3"/>
      <c r="K21" s="9"/>
      <c r="L21" s="3"/>
      <c r="M21" s="3"/>
      <c r="N21" s="3"/>
      <c r="O21" s="3"/>
      <c r="P21" s="3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42" s="1" customFormat="1" x14ac:dyDescent="0.25">
      <c r="A22" t="s">
        <v>330</v>
      </c>
      <c r="B22">
        <v>18</v>
      </c>
      <c r="C22" t="s">
        <v>401</v>
      </c>
      <c r="D22" t="s">
        <v>402</v>
      </c>
      <c r="E22" s="3"/>
      <c r="F22" s="3"/>
      <c r="G22" s="3"/>
      <c r="H22" s="3"/>
      <c r="I22" s="3"/>
      <c r="J22" s="3"/>
      <c r="K22" s="9"/>
      <c r="L22" s="3"/>
      <c r="M22" s="3"/>
      <c r="N22" s="3"/>
      <c r="O22" s="3"/>
      <c r="P22" s="3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42" s="1" customFormat="1" x14ac:dyDescent="0.25">
      <c r="A23" t="s">
        <v>330</v>
      </c>
      <c r="B23">
        <v>19</v>
      </c>
      <c r="C23" t="s">
        <v>2094</v>
      </c>
      <c r="D23" t="s">
        <v>2095</v>
      </c>
      <c r="E23" s="3"/>
      <c r="F23" s="3"/>
      <c r="G23" s="3"/>
      <c r="H23" s="3"/>
      <c r="I23" s="3"/>
      <c r="J23" s="3"/>
      <c r="K23" s="9"/>
      <c r="L23" s="3"/>
      <c r="M23" s="3"/>
      <c r="N23" s="3"/>
      <c r="O23" s="3"/>
      <c r="P23" s="3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42" s="1" customFormat="1" x14ac:dyDescent="0.25">
      <c r="A24" t="s">
        <v>330</v>
      </c>
      <c r="B24">
        <v>20</v>
      </c>
      <c r="C24" t="s">
        <v>2100</v>
      </c>
      <c r="D24" t="s">
        <v>2105</v>
      </c>
      <c r="E24" s="3"/>
      <c r="F24" s="3"/>
      <c r="G24" s="3"/>
      <c r="H24" s="3"/>
      <c r="I24" s="3"/>
      <c r="J24" s="3"/>
      <c r="K24" s="9"/>
      <c r="L24" s="3"/>
      <c r="M24" s="3"/>
      <c r="N24" s="3"/>
      <c r="O24" s="3"/>
      <c r="P24" s="3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42" s="1" customFormat="1" x14ac:dyDescent="0.25">
      <c r="A25" t="s">
        <v>330</v>
      </c>
      <c r="B25">
        <v>21</v>
      </c>
      <c r="C25" t="s">
        <v>2103</v>
      </c>
      <c r="D25" t="s">
        <v>2104</v>
      </c>
      <c r="E25" s="3"/>
      <c r="F25" s="3"/>
      <c r="G25" s="3"/>
      <c r="H25" s="3"/>
      <c r="I25" s="3"/>
      <c r="J25" s="3"/>
      <c r="K25" s="9"/>
      <c r="L25" s="3"/>
      <c r="M25" s="3"/>
      <c r="N25" s="3"/>
      <c r="O25" s="3"/>
      <c r="P25" s="3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42" s="1" customFormat="1" x14ac:dyDescent="0.25">
      <c r="A26" t="s">
        <v>330</v>
      </c>
      <c r="B26">
        <v>22</v>
      </c>
      <c r="C26" t="s">
        <v>2106</v>
      </c>
      <c r="D26" t="s">
        <v>2107</v>
      </c>
      <c r="E26" s="3"/>
      <c r="F26" s="3"/>
      <c r="G26" s="3"/>
      <c r="H26" s="3"/>
      <c r="I26" s="3"/>
      <c r="J26" s="3"/>
      <c r="K26" s="9"/>
      <c r="L26" s="3"/>
      <c r="M26" s="3"/>
      <c r="N26" s="3"/>
      <c r="O26" s="3"/>
      <c r="P26" s="3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42" s="1" customFormat="1" x14ac:dyDescent="0.25">
      <c r="A27" t="s">
        <v>330</v>
      </c>
      <c r="B27">
        <v>23</v>
      </c>
      <c r="C27" t="s">
        <v>2112</v>
      </c>
      <c r="D27" t="s">
        <v>2113</v>
      </c>
      <c r="E27" s="3"/>
      <c r="F27" s="3"/>
      <c r="G27" s="3"/>
      <c r="H27" s="3"/>
      <c r="I27" s="3"/>
      <c r="J27" s="3"/>
      <c r="K27" s="9"/>
      <c r="L27" s="3"/>
      <c r="M27" s="3"/>
      <c r="N27" s="3"/>
      <c r="O27" s="3"/>
      <c r="P27" s="3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42" s="1" customFormat="1" x14ac:dyDescent="0.25">
      <c r="A28" t="s">
        <v>330</v>
      </c>
      <c r="B28">
        <v>24</v>
      </c>
      <c r="C28" t="s">
        <v>2114</v>
      </c>
      <c r="D28" t="s">
        <v>2115</v>
      </c>
      <c r="E28" s="3"/>
      <c r="F28" s="3"/>
      <c r="G28" s="3"/>
      <c r="H28" s="3"/>
      <c r="I28" s="3"/>
      <c r="J28" s="3"/>
      <c r="K28" s="9"/>
      <c r="L28" s="3"/>
      <c r="M28" s="3"/>
      <c r="N28" s="3"/>
      <c r="O28" s="3"/>
      <c r="P28" s="3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42" s="1" customFormat="1" x14ac:dyDescent="0.25">
      <c r="A29" t="s">
        <v>330</v>
      </c>
      <c r="B29">
        <v>36</v>
      </c>
      <c r="C29" t="s">
        <v>407</v>
      </c>
      <c r="D29" t="s">
        <v>408</v>
      </c>
      <c r="E29" s="3"/>
      <c r="F29" s="3"/>
      <c r="G29" s="3"/>
      <c r="H29" s="3"/>
      <c r="I29" s="3"/>
      <c r="J29" s="3"/>
      <c r="K29" s="9"/>
      <c r="L29" s="3"/>
      <c r="M29" s="3"/>
      <c r="N29" s="3"/>
      <c r="O29" s="3"/>
      <c r="P29" s="3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42" s="1" customFormat="1" x14ac:dyDescent="0.25">
      <c r="A30" t="s">
        <v>330</v>
      </c>
      <c r="B30">
        <v>26</v>
      </c>
      <c r="C30" t="s">
        <v>409</v>
      </c>
      <c r="D30" t="s">
        <v>410</v>
      </c>
      <c r="E30" s="3"/>
      <c r="F30" s="3"/>
      <c r="G30" s="3"/>
      <c r="H30" s="3"/>
      <c r="I30" s="3"/>
      <c r="J30" s="3"/>
      <c r="K30" s="9"/>
      <c r="L30" s="3"/>
      <c r="M30" s="3"/>
      <c r="N30" s="3"/>
      <c r="O30" s="3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42" x14ac:dyDescent="0.25">
      <c r="A31" t="s">
        <v>330</v>
      </c>
      <c r="B31">
        <v>25</v>
      </c>
      <c r="C31" t="s">
        <v>1058</v>
      </c>
      <c r="D31" t="s">
        <v>1059</v>
      </c>
    </row>
    <row r="32" spans="1:42" x14ac:dyDescent="0.25">
      <c r="A32" t="s">
        <v>330</v>
      </c>
      <c r="B32">
        <v>27</v>
      </c>
      <c r="C32" t="s">
        <v>2116</v>
      </c>
      <c r="D32" t="s">
        <v>2117</v>
      </c>
    </row>
    <row r="33" spans="1:42" x14ac:dyDescent="0.25">
      <c r="A33" t="s">
        <v>330</v>
      </c>
      <c r="B33">
        <v>28</v>
      </c>
      <c r="C33" t="s">
        <v>2120</v>
      </c>
      <c r="D33" t="s">
        <v>2121</v>
      </c>
    </row>
    <row r="34" spans="1:42" x14ac:dyDescent="0.25">
      <c r="A34" t="s">
        <v>330</v>
      </c>
      <c r="B34">
        <v>30</v>
      </c>
      <c r="C34" t="s">
        <v>2122</v>
      </c>
      <c r="D34" t="s">
        <v>2123</v>
      </c>
    </row>
    <row r="35" spans="1:42" x14ac:dyDescent="0.25">
      <c r="A35" t="s">
        <v>330</v>
      </c>
      <c r="B35">
        <v>31</v>
      </c>
      <c r="C35" t="s">
        <v>2124</v>
      </c>
      <c r="D35" t="s">
        <v>2125</v>
      </c>
    </row>
    <row r="36" spans="1:42" x14ac:dyDescent="0.25">
      <c r="A36" t="s">
        <v>330</v>
      </c>
      <c r="B36">
        <v>32</v>
      </c>
      <c r="C36" t="s">
        <v>2126</v>
      </c>
      <c r="D36" t="s">
        <v>2127</v>
      </c>
    </row>
    <row r="37" spans="1:42" x14ac:dyDescent="0.25">
      <c r="A37" t="s">
        <v>330</v>
      </c>
      <c r="B37">
        <v>33</v>
      </c>
      <c r="C37" t="s">
        <v>2136</v>
      </c>
      <c r="D37" t="s">
        <v>2137</v>
      </c>
    </row>
    <row r="38" spans="1:42" x14ac:dyDescent="0.25">
      <c r="A38" t="s">
        <v>330</v>
      </c>
      <c r="B38">
        <v>34</v>
      </c>
      <c r="C38" t="s">
        <v>2144</v>
      </c>
      <c r="D38" t="s">
        <v>2145</v>
      </c>
    </row>
    <row r="39" spans="1:42" s="1" customFormat="1" x14ac:dyDescent="0.25">
      <c r="A39" t="s">
        <v>330</v>
      </c>
      <c r="B39" s="1">
        <v>35</v>
      </c>
      <c r="C39" t="s">
        <v>2064</v>
      </c>
      <c r="D39" t="s">
        <v>2065</v>
      </c>
      <c r="G39" s="7"/>
      <c r="H39" s="6"/>
      <c r="I39" s="6"/>
      <c r="J39" s="6"/>
      <c r="K39" s="3"/>
      <c r="L39" s="6"/>
      <c r="M39" s="9"/>
      <c r="N39" s="3"/>
      <c r="O39" s="3"/>
      <c r="P39" s="3"/>
      <c r="Q39" s="3"/>
      <c r="R39" s="3"/>
      <c r="S39" s="4"/>
      <c r="T39" s="4"/>
      <c r="U39" s="4"/>
      <c r="V39" s="4"/>
      <c r="W39" s="112"/>
      <c r="X39" s="4"/>
      <c r="Y39" s="4"/>
      <c r="Z39" s="4"/>
      <c r="AA39" s="4"/>
      <c r="AB39" s="61"/>
      <c r="AC39" s="61"/>
      <c r="AD39" s="61"/>
      <c r="AE39" s="61"/>
      <c r="AF39" s="61"/>
      <c r="AG39" s="61"/>
      <c r="AH39" s="61"/>
      <c r="AI39" s="61"/>
      <c r="AJ39" s="61"/>
      <c r="AN39" s="3"/>
      <c r="AO39" s="3"/>
      <c r="AP39" s="3"/>
    </row>
    <row r="40" spans="1:42" s="1" customFormat="1" x14ac:dyDescent="0.25">
      <c r="A40" t="s">
        <v>330</v>
      </c>
      <c r="B40">
        <v>36</v>
      </c>
      <c r="C40" t="s">
        <v>2146</v>
      </c>
      <c r="D40" t="s">
        <v>2147</v>
      </c>
      <c r="G40" s="7"/>
      <c r="H40" s="6"/>
      <c r="I40" s="6"/>
      <c r="J40" s="6"/>
      <c r="K40" s="3"/>
      <c r="L40" s="6"/>
      <c r="M40" s="9"/>
      <c r="N40" s="3"/>
      <c r="O40" s="3"/>
      <c r="P40" s="3"/>
      <c r="Q40" s="3"/>
      <c r="R40" s="3"/>
      <c r="S40" s="4"/>
      <c r="T40" s="4"/>
      <c r="U40" s="4"/>
      <c r="V40" s="4"/>
      <c r="W40" s="4"/>
      <c r="X40" s="4"/>
      <c r="Y40" s="4"/>
      <c r="Z40" s="4"/>
      <c r="AA40" s="4"/>
      <c r="AB40" s="61"/>
      <c r="AC40" s="61"/>
      <c r="AD40" s="61"/>
      <c r="AE40" s="61"/>
      <c r="AF40" s="61"/>
      <c r="AG40" s="61"/>
      <c r="AH40" s="61"/>
      <c r="AI40" s="61"/>
      <c r="AJ40" s="61"/>
      <c r="AN40" s="3"/>
      <c r="AO40" s="3"/>
      <c r="AP40" s="3"/>
    </row>
    <row r="41" spans="1:42" s="1" customFormat="1" x14ac:dyDescent="0.25">
      <c r="A41" t="s">
        <v>330</v>
      </c>
      <c r="B41">
        <v>37</v>
      </c>
      <c r="C41" t="s">
        <v>2148</v>
      </c>
      <c r="D41" t="s">
        <v>2149</v>
      </c>
      <c r="G41" s="7"/>
      <c r="H41" s="6"/>
      <c r="I41" s="6"/>
      <c r="J41" s="6"/>
      <c r="K41" s="3"/>
      <c r="L41" s="6"/>
      <c r="M41" s="9"/>
      <c r="N41" s="3"/>
      <c r="O41" s="3"/>
      <c r="P41" s="3"/>
      <c r="Q41" s="3"/>
      <c r="R41" s="3"/>
      <c r="S41" s="4"/>
      <c r="T41" s="4"/>
      <c r="U41" s="4"/>
      <c r="V41" s="4"/>
      <c r="W41" s="4"/>
      <c r="X41" s="4"/>
      <c r="Y41" s="4"/>
      <c r="Z41" s="4"/>
      <c r="AA41" s="4"/>
      <c r="AB41" s="61"/>
      <c r="AC41" s="61"/>
      <c r="AD41" s="61"/>
      <c r="AE41" s="61"/>
      <c r="AF41" s="61"/>
      <c r="AG41" s="61"/>
      <c r="AH41" s="61"/>
      <c r="AI41" s="61"/>
      <c r="AJ41" s="61"/>
      <c r="AN41" s="3"/>
      <c r="AO41" s="3"/>
      <c r="AP41" s="3"/>
    </row>
    <row r="42" spans="1:42" s="1" customFormat="1" x14ac:dyDescent="0.25">
      <c r="A42" t="s">
        <v>330</v>
      </c>
      <c r="B42">
        <v>38</v>
      </c>
      <c r="C42" t="s">
        <v>2152</v>
      </c>
      <c r="D42" t="s">
        <v>2153</v>
      </c>
      <c r="G42" s="7"/>
      <c r="H42" s="6"/>
      <c r="I42" s="6"/>
      <c r="J42" s="6"/>
      <c r="K42" s="3"/>
      <c r="L42" s="6"/>
      <c r="M42" s="9"/>
      <c r="N42" s="3"/>
      <c r="O42" s="3"/>
      <c r="P42" s="3"/>
      <c r="Q42" s="3"/>
      <c r="R42" s="3"/>
      <c r="S42" s="4"/>
      <c r="T42" s="4"/>
      <c r="U42" s="4"/>
      <c r="V42" s="4"/>
      <c r="W42" s="4"/>
      <c r="X42" s="4"/>
      <c r="Y42" s="4"/>
      <c r="Z42" s="4"/>
      <c r="AA42" s="4"/>
      <c r="AB42" s="61"/>
      <c r="AC42" s="61"/>
      <c r="AD42" s="61"/>
      <c r="AE42" s="61"/>
      <c r="AF42" s="61"/>
      <c r="AG42" s="61"/>
      <c r="AH42" s="61"/>
      <c r="AI42" s="61"/>
      <c r="AJ42" s="61"/>
      <c r="AN42" s="3"/>
      <c r="AO42" s="3"/>
      <c r="AP42" s="3"/>
    </row>
    <row r="43" spans="1:42" s="1" customFormat="1" x14ac:dyDescent="0.25">
      <c r="A43" t="s">
        <v>330</v>
      </c>
      <c r="B43">
        <v>39</v>
      </c>
      <c r="C43" t="s">
        <v>2154</v>
      </c>
      <c r="D43" t="s">
        <v>2155</v>
      </c>
      <c r="G43" s="7"/>
      <c r="H43" s="6"/>
      <c r="I43" s="6"/>
      <c r="J43" s="6"/>
      <c r="K43" s="3"/>
      <c r="L43" s="6"/>
      <c r="M43" s="9"/>
      <c r="N43" s="3"/>
      <c r="O43" s="3"/>
      <c r="P43" s="3"/>
      <c r="Q43" s="3"/>
      <c r="R43" s="3"/>
      <c r="S43" s="4"/>
      <c r="T43" s="4"/>
      <c r="U43" s="4"/>
      <c r="V43" s="4"/>
      <c r="W43" s="4"/>
      <c r="X43" s="4"/>
      <c r="Y43" s="4"/>
      <c r="Z43" s="4"/>
      <c r="AA43" s="4"/>
      <c r="AB43" s="61"/>
      <c r="AC43" s="61"/>
      <c r="AD43" s="61"/>
      <c r="AE43" s="61"/>
      <c r="AF43" s="61"/>
      <c r="AG43" s="61"/>
      <c r="AH43" s="61"/>
      <c r="AI43" s="61"/>
      <c r="AJ43" s="61"/>
      <c r="AN43" s="3"/>
      <c r="AO43" s="3"/>
      <c r="AP43" s="3"/>
    </row>
    <row r="44" spans="1:42" s="1" customFormat="1" x14ac:dyDescent="0.25">
      <c r="A44" t="s">
        <v>330</v>
      </c>
      <c r="B44">
        <v>40</v>
      </c>
      <c r="C44" t="s">
        <v>2156</v>
      </c>
      <c r="D44" t="s">
        <v>2157</v>
      </c>
      <c r="G44" s="7"/>
      <c r="H44" s="6"/>
      <c r="I44" s="6"/>
      <c r="J44" s="6"/>
      <c r="K44" s="3"/>
      <c r="L44" s="6"/>
      <c r="M44" s="9"/>
      <c r="N44" s="3"/>
      <c r="O44" s="3"/>
      <c r="P44" s="3"/>
      <c r="Q44" s="3"/>
      <c r="R44" s="3"/>
      <c r="S44" s="4"/>
      <c r="T44" s="4"/>
      <c r="U44" s="4"/>
      <c r="V44" s="4"/>
      <c r="W44" s="4"/>
      <c r="X44" s="4"/>
      <c r="Y44" s="4"/>
      <c r="Z44" s="4"/>
      <c r="AA44" s="4"/>
      <c r="AB44" s="61"/>
      <c r="AC44" s="61"/>
      <c r="AD44" s="61"/>
      <c r="AE44" s="61"/>
      <c r="AF44" s="61"/>
      <c r="AG44" s="61"/>
      <c r="AH44" s="61"/>
      <c r="AI44" s="61"/>
      <c r="AJ44" s="61"/>
      <c r="AN44" s="3"/>
      <c r="AO44" s="3"/>
      <c r="AP44" s="3"/>
    </row>
    <row r="45" spans="1:42" s="1" customFormat="1" x14ac:dyDescent="0.25">
      <c r="A45" t="s">
        <v>330</v>
      </c>
      <c r="B45">
        <v>41</v>
      </c>
      <c r="C45" t="s">
        <v>2158</v>
      </c>
      <c r="D45" t="s">
        <v>2159</v>
      </c>
      <c r="G45" s="7"/>
      <c r="H45" s="6"/>
      <c r="I45" s="6"/>
      <c r="J45" s="6"/>
      <c r="K45" s="3"/>
      <c r="L45" s="6"/>
      <c r="M45" s="9"/>
      <c r="N45" s="3"/>
      <c r="O45" s="3"/>
      <c r="P45" s="3"/>
      <c r="Q45" s="3"/>
      <c r="R45" s="3"/>
      <c r="S45" s="4"/>
      <c r="T45" s="4"/>
      <c r="U45" s="4"/>
      <c r="V45" s="4"/>
      <c r="W45" s="4"/>
      <c r="X45" s="4"/>
      <c r="Y45" s="4"/>
      <c r="Z45" s="4"/>
      <c r="AA45" s="4"/>
      <c r="AB45" s="61"/>
      <c r="AC45" s="61"/>
      <c r="AD45" s="61"/>
      <c r="AE45" s="61"/>
      <c r="AF45" s="61"/>
      <c r="AG45" s="61"/>
      <c r="AH45" s="61"/>
      <c r="AI45" s="61"/>
      <c r="AJ45" s="61"/>
      <c r="AN45" s="3"/>
      <c r="AO45" s="3"/>
      <c r="AP45" s="3"/>
    </row>
    <row r="46" spans="1:42" s="1" customFormat="1" x14ac:dyDescent="0.25">
      <c r="A46" t="s">
        <v>330</v>
      </c>
      <c r="B46">
        <v>42</v>
      </c>
      <c r="C46" t="s">
        <v>2160</v>
      </c>
      <c r="D46" t="s">
        <v>2161</v>
      </c>
      <c r="G46" s="7"/>
      <c r="H46" s="6"/>
      <c r="I46" s="6"/>
      <c r="J46" s="6"/>
      <c r="K46" s="3"/>
      <c r="L46" s="6"/>
      <c r="M46" s="9"/>
      <c r="N46" s="3"/>
      <c r="O46" s="3"/>
      <c r="P46" s="3"/>
      <c r="Q46" s="3"/>
      <c r="R46" s="3"/>
      <c r="S46" s="4"/>
      <c r="T46" s="4"/>
      <c r="U46" s="4"/>
      <c r="V46" s="4"/>
      <c r="W46" s="4"/>
      <c r="X46" s="4"/>
      <c r="Y46" s="4"/>
      <c r="Z46" s="4"/>
      <c r="AA46" s="4"/>
      <c r="AB46" s="61"/>
      <c r="AC46" s="61"/>
      <c r="AD46" s="61"/>
      <c r="AE46" s="61"/>
      <c r="AF46" s="61"/>
      <c r="AG46" s="61"/>
      <c r="AH46" s="61"/>
      <c r="AI46" s="61"/>
      <c r="AJ46" s="61"/>
      <c r="AN46" s="3"/>
      <c r="AO46" s="3"/>
      <c r="AP46" s="3"/>
    </row>
    <row r="47" spans="1:42" s="1" customFormat="1" x14ac:dyDescent="0.25">
      <c r="A47" t="s">
        <v>330</v>
      </c>
      <c r="B47">
        <v>43</v>
      </c>
      <c r="C47" t="s">
        <v>2164</v>
      </c>
      <c r="D47" t="s">
        <v>2165</v>
      </c>
      <c r="G47" s="7"/>
      <c r="H47" s="6"/>
      <c r="I47" s="6"/>
      <c r="J47" s="6"/>
      <c r="K47" s="3"/>
      <c r="L47" s="6"/>
      <c r="M47" s="9"/>
      <c r="N47" s="3"/>
      <c r="O47" s="3"/>
      <c r="P47" s="3"/>
      <c r="Q47" s="3"/>
      <c r="R47" s="3"/>
      <c r="S47" s="4"/>
      <c r="T47" s="4"/>
      <c r="U47" s="4"/>
      <c r="V47" s="4"/>
      <c r="W47" s="4"/>
      <c r="X47" s="4"/>
      <c r="Y47" s="4"/>
      <c r="Z47" s="4"/>
      <c r="AA47" s="4"/>
      <c r="AB47" s="61"/>
      <c r="AC47" s="61"/>
      <c r="AD47" s="61"/>
      <c r="AE47" s="61"/>
      <c r="AF47" s="61"/>
      <c r="AG47" s="61"/>
      <c r="AH47" s="61"/>
      <c r="AI47" s="61"/>
      <c r="AJ47" s="61"/>
      <c r="AN47" s="3"/>
      <c r="AO47" s="3"/>
      <c r="AP47" s="3"/>
    </row>
    <row r="48" spans="1:42" s="1" customFormat="1" x14ac:dyDescent="0.25">
      <c r="A48" t="s">
        <v>330</v>
      </c>
      <c r="B48">
        <v>44</v>
      </c>
      <c r="C48" t="s">
        <v>2166</v>
      </c>
      <c r="D48" t="s">
        <v>2167</v>
      </c>
      <c r="G48" s="7"/>
      <c r="H48" s="6"/>
      <c r="I48" s="6"/>
      <c r="J48" s="6"/>
      <c r="K48" s="3"/>
      <c r="L48" s="6"/>
      <c r="M48" s="9"/>
      <c r="N48" s="3"/>
      <c r="O48" s="3"/>
      <c r="P48" s="3"/>
      <c r="Q48" s="3"/>
      <c r="R48" s="3"/>
      <c r="S48" s="4"/>
      <c r="T48" s="4"/>
      <c r="U48" s="4"/>
      <c r="V48" s="4"/>
      <c r="W48" s="4"/>
      <c r="X48" s="4"/>
      <c r="Y48" s="4"/>
      <c r="Z48" s="4"/>
      <c r="AA48" s="4"/>
      <c r="AB48" s="61"/>
      <c r="AC48" s="61"/>
      <c r="AD48" s="61"/>
      <c r="AE48" s="61"/>
      <c r="AF48" s="61"/>
      <c r="AG48" s="61"/>
      <c r="AH48" s="61"/>
      <c r="AI48" s="61"/>
      <c r="AJ48" s="61"/>
      <c r="AN48" s="3"/>
      <c r="AO48" s="3"/>
      <c r="AP48" s="3"/>
    </row>
    <row r="49" spans="1:42" s="1" customFormat="1" x14ac:dyDescent="0.25">
      <c r="A49" t="s">
        <v>330</v>
      </c>
      <c r="B49">
        <v>45</v>
      </c>
      <c r="C49" t="s">
        <v>2170</v>
      </c>
      <c r="D49" t="s">
        <v>2171</v>
      </c>
      <c r="G49" s="7"/>
      <c r="H49" s="6"/>
      <c r="I49" s="6"/>
      <c r="J49" s="6"/>
      <c r="K49" s="3"/>
      <c r="L49" s="6"/>
      <c r="M49" s="9"/>
      <c r="N49" s="3"/>
      <c r="O49" s="3"/>
      <c r="P49" s="3"/>
      <c r="Q49" s="3"/>
      <c r="R49" s="3"/>
      <c r="S49" s="4"/>
      <c r="T49" s="4"/>
      <c r="U49" s="4"/>
      <c r="V49" s="4"/>
      <c r="W49" s="4"/>
      <c r="X49" s="4"/>
      <c r="Y49" s="4"/>
      <c r="Z49" s="4"/>
      <c r="AA49" s="4"/>
      <c r="AB49" s="61"/>
      <c r="AC49" s="61"/>
      <c r="AD49" s="61"/>
      <c r="AE49" s="61"/>
      <c r="AF49" s="61"/>
      <c r="AG49" s="61"/>
      <c r="AH49" s="61"/>
      <c r="AI49" s="61"/>
      <c r="AJ49" s="61"/>
      <c r="AN49" s="3"/>
      <c r="AO49" s="3"/>
      <c r="AP49" s="3"/>
    </row>
    <row r="50" spans="1:42" s="1" customFormat="1" x14ac:dyDescent="0.25">
      <c r="A50" t="s">
        <v>330</v>
      </c>
      <c r="B50">
        <v>46</v>
      </c>
      <c r="C50" t="s">
        <v>2172</v>
      </c>
      <c r="D50" t="s">
        <v>2173</v>
      </c>
      <c r="G50" s="7"/>
      <c r="H50" s="6"/>
      <c r="I50" s="6"/>
      <c r="J50" s="6"/>
      <c r="K50" s="3"/>
      <c r="L50" s="6"/>
      <c r="M50" s="9"/>
      <c r="N50" s="3"/>
      <c r="O50" s="3"/>
      <c r="P50" s="3"/>
      <c r="Q50" s="3"/>
      <c r="R50" s="3"/>
      <c r="S50" s="4"/>
      <c r="T50" s="4"/>
      <c r="U50" s="4"/>
      <c r="V50" s="4"/>
      <c r="W50" s="4"/>
      <c r="X50" s="4"/>
      <c r="Y50" s="4"/>
      <c r="Z50" s="4"/>
      <c r="AA50" s="4"/>
      <c r="AB50" s="61"/>
      <c r="AC50" s="61"/>
      <c r="AD50" s="61"/>
      <c r="AE50" s="61"/>
      <c r="AF50" s="61"/>
      <c r="AG50" s="61"/>
      <c r="AH50" s="61"/>
      <c r="AI50" s="61"/>
      <c r="AJ50" s="61"/>
      <c r="AN50" s="3"/>
      <c r="AO50" s="3"/>
      <c r="AP50" s="3"/>
    </row>
    <row r="51" spans="1:42" s="1" customFormat="1" x14ac:dyDescent="0.25">
      <c r="A51" t="s">
        <v>330</v>
      </c>
      <c r="B51">
        <v>47</v>
      </c>
      <c r="C51" t="s">
        <v>2176</v>
      </c>
      <c r="D51" t="s">
        <v>2177</v>
      </c>
      <c r="G51" s="7"/>
      <c r="H51" s="6"/>
      <c r="I51" s="6"/>
      <c r="J51" s="6"/>
      <c r="K51" s="3"/>
      <c r="L51" s="6"/>
      <c r="M51" s="9"/>
      <c r="N51" s="3"/>
      <c r="O51" s="3"/>
      <c r="P51" s="3"/>
      <c r="Q51" s="3"/>
      <c r="R51" s="3"/>
      <c r="S51" s="4"/>
      <c r="T51" s="4"/>
      <c r="U51" s="4"/>
      <c r="V51" s="4"/>
      <c r="W51" s="4"/>
      <c r="X51" s="4"/>
      <c r="Y51" s="4"/>
      <c r="Z51" s="4"/>
      <c r="AA51" s="4"/>
      <c r="AB51" s="61"/>
      <c r="AC51" s="61"/>
      <c r="AD51" s="61"/>
      <c r="AE51" s="61"/>
      <c r="AF51" s="61"/>
      <c r="AG51" s="61"/>
      <c r="AH51" s="61"/>
      <c r="AI51" s="61"/>
      <c r="AJ51" s="61"/>
      <c r="AN51" s="3"/>
      <c r="AO51" s="3"/>
      <c r="AP51" s="3"/>
    </row>
    <row r="52" spans="1:42" s="1" customFormat="1" x14ac:dyDescent="0.25">
      <c r="A52" t="s">
        <v>330</v>
      </c>
      <c r="B52">
        <v>48</v>
      </c>
      <c r="C52" t="s">
        <v>2178</v>
      </c>
      <c r="D52" t="s">
        <v>2180</v>
      </c>
      <c r="G52" s="7"/>
      <c r="H52" s="6"/>
      <c r="I52" s="6"/>
      <c r="J52" s="6"/>
      <c r="K52" s="3"/>
      <c r="L52" s="6"/>
      <c r="M52" s="9"/>
      <c r="N52" s="3"/>
      <c r="O52" s="3"/>
      <c r="P52" s="3"/>
      <c r="Q52" s="3"/>
      <c r="R52" s="3"/>
      <c r="S52" s="4"/>
      <c r="T52" s="4"/>
      <c r="U52" s="4"/>
      <c r="V52" s="4"/>
      <c r="W52" s="4"/>
      <c r="X52" s="4"/>
      <c r="Y52" s="4"/>
      <c r="Z52" s="4"/>
      <c r="AA52" s="4"/>
      <c r="AB52" s="61"/>
      <c r="AC52" s="61"/>
      <c r="AD52" s="61"/>
      <c r="AE52" s="61"/>
      <c r="AF52" s="61"/>
      <c r="AG52" s="61"/>
      <c r="AH52" s="61"/>
      <c r="AI52" s="61"/>
      <c r="AJ52" s="61"/>
      <c r="AN52" s="3"/>
      <c r="AO52" s="3"/>
      <c r="AP52" s="3"/>
    </row>
    <row r="53" spans="1:42" s="1" customFormat="1" x14ac:dyDescent="0.25">
      <c r="A53" t="s">
        <v>330</v>
      </c>
      <c r="B53">
        <v>49</v>
      </c>
      <c r="C53" t="s">
        <v>2179</v>
      </c>
      <c r="D53" t="s">
        <v>2181</v>
      </c>
      <c r="G53" s="7"/>
      <c r="H53" s="6"/>
      <c r="I53" s="6"/>
      <c r="J53" s="6"/>
      <c r="K53" s="3"/>
      <c r="L53" s="6"/>
      <c r="M53" s="9"/>
      <c r="N53" s="3"/>
      <c r="O53" s="3"/>
      <c r="P53" s="3"/>
      <c r="Q53" s="3"/>
      <c r="R53" s="3"/>
      <c r="S53" s="4"/>
      <c r="T53" s="4"/>
      <c r="U53" s="4"/>
      <c r="V53" s="4"/>
      <c r="W53" s="4"/>
      <c r="X53" s="4"/>
      <c r="Y53" s="4"/>
      <c r="Z53" s="4"/>
      <c r="AA53" s="4"/>
      <c r="AB53" s="61"/>
      <c r="AC53" s="61"/>
      <c r="AD53" s="61"/>
      <c r="AE53" s="61"/>
      <c r="AF53" s="61"/>
      <c r="AG53" s="61"/>
      <c r="AH53" s="61"/>
      <c r="AI53" s="61"/>
      <c r="AJ53" s="61"/>
      <c r="AN53" s="3"/>
      <c r="AO53" s="3"/>
      <c r="AP53" s="3"/>
    </row>
    <row r="54" spans="1:42" s="1" customFormat="1" x14ac:dyDescent="0.25">
      <c r="A54" t="s">
        <v>330</v>
      </c>
      <c r="B54">
        <v>50</v>
      </c>
      <c r="C54" t="s">
        <v>2182</v>
      </c>
      <c r="D54" t="s">
        <v>2183</v>
      </c>
      <c r="G54" s="7"/>
      <c r="H54" s="6"/>
      <c r="I54" s="6"/>
      <c r="J54" s="6"/>
      <c r="K54" s="3"/>
      <c r="L54" s="6"/>
      <c r="M54" s="9"/>
      <c r="N54" s="3"/>
      <c r="O54" s="3"/>
      <c r="P54" s="3"/>
      <c r="Q54" s="3"/>
      <c r="R54" s="3"/>
      <c r="S54" s="4"/>
      <c r="T54" s="4"/>
      <c r="U54" s="4"/>
      <c r="V54" s="4"/>
      <c r="W54" s="4"/>
      <c r="X54" s="4"/>
      <c r="Y54" s="4"/>
      <c r="Z54" s="4"/>
      <c r="AA54" s="4"/>
      <c r="AB54" s="61"/>
      <c r="AC54" s="61"/>
      <c r="AD54" s="61"/>
      <c r="AE54" s="61"/>
      <c r="AF54" s="61"/>
      <c r="AG54" s="61"/>
      <c r="AH54" s="61"/>
      <c r="AI54" s="61"/>
      <c r="AJ54" s="61"/>
      <c r="AN54" s="3"/>
      <c r="AO54" s="3"/>
      <c r="AP54" s="3"/>
    </row>
    <row r="55" spans="1:42" s="1" customFormat="1" x14ac:dyDescent="0.25">
      <c r="A55" t="s">
        <v>330</v>
      </c>
      <c r="B55">
        <v>51</v>
      </c>
      <c r="C55" t="s">
        <v>2184</v>
      </c>
      <c r="D55" t="s">
        <v>2185</v>
      </c>
      <c r="G55" s="7"/>
      <c r="H55" s="6"/>
      <c r="I55" s="6"/>
      <c r="J55" s="6"/>
      <c r="K55" s="3"/>
      <c r="L55" s="6"/>
      <c r="M55" s="9"/>
      <c r="N55" s="3"/>
      <c r="O55" s="3"/>
      <c r="P55" s="3"/>
      <c r="Q55" s="3"/>
      <c r="R55" s="3"/>
      <c r="S55" s="4"/>
      <c r="T55" s="4"/>
      <c r="U55" s="4"/>
      <c r="V55" s="4"/>
      <c r="W55" s="4"/>
      <c r="X55" s="4"/>
      <c r="Y55" s="4"/>
      <c r="Z55" s="4"/>
      <c r="AA55" s="4"/>
      <c r="AB55" s="61"/>
      <c r="AC55" s="61"/>
      <c r="AD55" s="61"/>
      <c r="AE55" s="61"/>
      <c r="AF55" s="61"/>
      <c r="AG55" s="61"/>
      <c r="AH55" s="61"/>
      <c r="AI55" s="61"/>
      <c r="AJ55" s="61"/>
      <c r="AN55" s="3"/>
      <c r="AO55" s="3"/>
      <c r="AP55" s="3"/>
    </row>
    <row r="56" spans="1:42" s="1" customFormat="1" x14ac:dyDescent="0.25">
      <c r="A56" t="s">
        <v>330</v>
      </c>
      <c r="B56">
        <v>52</v>
      </c>
      <c r="C56" t="s">
        <v>2186</v>
      </c>
      <c r="D56" t="s">
        <v>2187</v>
      </c>
      <c r="G56" s="7"/>
      <c r="H56" s="6"/>
      <c r="I56" s="6"/>
      <c r="J56" s="6"/>
      <c r="K56" s="3"/>
      <c r="L56" s="6"/>
      <c r="M56" s="9"/>
      <c r="N56" s="3"/>
      <c r="O56" s="3"/>
      <c r="P56" s="3"/>
      <c r="Q56" s="3"/>
      <c r="R56" s="3"/>
      <c r="S56" s="4"/>
      <c r="T56" s="4"/>
      <c r="U56" s="4"/>
      <c r="V56" s="4"/>
      <c r="W56" s="4"/>
      <c r="X56" s="4"/>
      <c r="Y56" s="4"/>
      <c r="Z56" s="4"/>
      <c r="AA56" s="4"/>
      <c r="AB56" s="61"/>
      <c r="AC56" s="61"/>
      <c r="AD56" s="61"/>
      <c r="AE56" s="61"/>
      <c r="AF56" s="61"/>
      <c r="AG56" s="61"/>
      <c r="AH56" s="61"/>
      <c r="AI56" s="61"/>
      <c r="AJ56" s="61"/>
      <c r="AN56" s="3"/>
      <c r="AO56" s="3"/>
      <c r="AP56" s="3"/>
    </row>
    <row r="57" spans="1:42" s="1" customFormat="1" x14ac:dyDescent="0.25">
      <c r="C57" t="s">
        <v>274</v>
      </c>
      <c r="D57" t="s">
        <v>275</v>
      </c>
      <c r="E57" s="3"/>
      <c r="F57" s="3"/>
      <c r="G57" s="3"/>
      <c r="H57" s="3"/>
      <c r="I57" s="3"/>
      <c r="J57" s="3"/>
      <c r="K57" s="9"/>
      <c r="L57" s="3"/>
      <c r="M57" s="3"/>
      <c r="N57" s="3"/>
      <c r="O57" s="3"/>
      <c r="P57" s="3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42" s="1" customFormat="1" x14ac:dyDescent="0.25">
      <c r="A58"/>
      <c r="B58"/>
      <c r="C58" s="5" t="s">
        <v>366</v>
      </c>
      <c r="D58" t="s">
        <v>367</v>
      </c>
      <c r="E58" s="18">
        <v>24.06</v>
      </c>
      <c r="F58" s="6">
        <f>+E58*J58/HKD</f>
        <v>3040.4741405461541</v>
      </c>
      <c r="G58" s="6">
        <f>([220]Main!$J$6-[220]Main!$J$7)/HKD</f>
        <v>376.08884615384613</v>
      </c>
      <c r="H58" s="6">
        <f>+F58-G58</f>
        <v>2664.385294392308</v>
      </c>
      <c r="I58" s="3" t="s">
        <v>1109</v>
      </c>
      <c r="J58" s="6">
        <f>+[220]Main!$J$4</f>
        <v>985.68987100000004</v>
      </c>
      <c r="K58" s="9">
        <v>45543</v>
      </c>
      <c r="N58" s="3"/>
      <c r="O58" s="3"/>
      <c r="P58" s="3"/>
      <c r="Q58" s="3"/>
      <c r="R58" s="3"/>
      <c r="S58" s="4"/>
      <c r="T58" s="4"/>
      <c r="U58" s="4"/>
      <c r="V58" s="4"/>
      <c r="W58" s="112"/>
      <c r="X58" s="4"/>
      <c r="Y58" s="4"/>
      <c r="Z58" s="4"/>
      <c r="AA58" s="4"/>
      <c r="AB58" s="61"/>
      <c r="AC58" s="61"/>
      <c r="AD58" s="61"/>
      <c r="AE58" s="61"/>
      <c r="AF58" s="61"/>
      <c r="AG58" s="61"/>
      <c r="AH58" s="61"/>
      <c r="AI58" s="61"/>
      <c r="AJ58" s="61"/>
      <c r="AL58" s="1">
        <v>2012</v>
      </c>
      <c r="AN58" s="3"/>
      <c r="AO58" s="3"/>
      <c r="AP58" s="3"/>
    </row>
    <row r="59" spans="1:42" s="1" customFormat="1" x14ac:dyDescent="0.25">
      <c r="A59"/>
      <c r="B59"/>
      <c r="C59" s="5" t="s">
        <v>366</v>
      </c>
      <c r="D59" t="s">
        <v>1179</v>
      </c>
      <c r="E59" s="44">
        <v>37.659999999999997</v>
      </c>
      <c r="F59" s="6"/>
      <c r="G59" s="3"/>
      <c r="H59" s="3"/>
      <c r="I59" s="3" t="str">
        <f>+I58</f>
        <v>Q423</v>
      </c>
      <c r="J59" s="6"/>
      <c r="K59" s="9">
        <f>+K58</f>
        <v>45543</v>
      </c>
      <c r="N59" s="3"/>
      <c r="O59" s="3"/>
      <c r="P59" s="3"/>
      <c r="Q59" s="3"/>
      <c r="R59" s="3"/>
      <c r="S59" s="4"/>
      <c r="T59" s="4"/>
      <c r="U59" s="4"/>
      <c r="V59" s="4"/>
      <c r="W59" s="112"/>
      <c r="X59" s="4"/>
      <c r="Y59" s="4"/>
      <c r="Z59" s="4"/>
      <c r="AA59" s="4"/>
      <c r="AB59" s="61"/>
      <c r="AC59" s="61"/>
      <c r="AD59" s="61"/>
      <c r="AE59" s="61"/>
      <c r="AF59" s="61"/>
      <c r="AG59" s="61"/>
      <c r="AH59" s="61"/>
      <c r="AI59" s="61"/>
      <c r="AJ59" s="61"/>
      <c r="AN59" s="3"/>
      <c r="AO59" s="3"/>
      <c r="AP59" s="3"/>
    </row>
    <row r="60" spans="1:42" s="1" customFormat="1" x14ac:dyDescent="0.25">
      <c r="C60" t="s">
        <v>356</v>
      </c>
      <c r="D60" t="s">
        <v>357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42" x14ac:dyDescent="0.25">
      <c r="C61" t="s">
        <v>591</v>
      </c>
      <c r="D61" t="s">
        <v>592</v>
      </c>
    </row>
  </sheetData>
  <hyperlinks>
    <hyperlink ref="C18" r:id="rId1" xr:uid="{6DB2BB02-C4A0-49AF-BAFF-B0F94FD8A18F}"/>
    <hyperlink ref="C17" r:id="rId2" xr:uid="{207C989E-621C-4033-9CCE-48EE8FC87164}"/>
    <hyperlink ref="C4" r:id="rId3" xr:uid="{27FB3DB4-8430-405F-9558-F31A0B69ED5F}"/>
    <hyperlink ref="C10" r:id="rId4" xr:uid="{1D3A6A47-22C9-4CC1-94BD-20DE3BB08016}"/>
    <hyperlink ref="C59" r:id="rId5" xr:uid="{DD06A32A-D1AE-4DFA-957F-7E5F6848399D}"/>
    <hyperlink ref="C58" r:id="rId6" xr:uid="{75D04E08-C11D-42F6-A0B8-9E185A6BA24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D1CB6-5651-471F-AAA8-5F905302D25A}">
  <dimension ref="A1:J58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x14ac:dyDescent="0.25"/>
  <cols>
    <col min="1" max="1" width="5" bestFit="1" customWidth="1"/>
    <col min="2" max="2" width="10.81640625" bestFit="1" customWidth="1"/>
    <col min="3" max="3" width="19.7265625" customWidth="1"/>
    <col min="4" max="4" width="9.1796875" style="27"/>
    <col min="5" max="5" width="20.81640625" style="27" customWidth="1"/>
    <col min="6" max="6" width="26.81640625" style="27" customWidth="1"/>
    <col min="7" max="7" width="9.1796875" style="29"/>
    <col min="9" max="9" width="13.453125" style="27" bestFit="1" customWidth="1"/>
  </cols>
  <sheetData>
    <row r="1" spans="1:10" x14ac:dyDescent="0.25">
      <c r="A1" s="5" t="s">
        <v>282</v>
      </c>
    </row>
    <row r="2" spans="1:10" x14ac:dyDescent="0.25">
      <c r="B2" t="s">
        <v>1437</v>
      </c>
      <c r="C2" t="s">
        <v>1438</v>
      </c>
      <c r="D2" s="27" t="s">
        <v>1436</v>
      </c>
      <c r="E2" s="27" t="s">
        <v>1444</v>
      </c>
      <c r="F2" s="27" t="s">
        <v>1440</v>
      </c>
      <c r="G2" s="29" t="s">
        <v>1448</v>
      </c>
      <c r="H2" s="27" t="s">
        <v>1454</v>
      </c>
      <c r="I2" s="27" t="s">
        <v>1456</v>
      </c>
      <c r="J2" s="27" t="s">
        <v>1459</v>
      </c>
    </row>
    <row r="3" spans="1:10" x14ac:dyDescent="0.25">
      <c r="B3" t="s">
        <v>1455</v>
      </c>
      <c r="C3" t="s">
        <v>1441</v>
      </c>
      <c r="D3" s="27">
        <v>1</v>
      </c>
      <c r="E3" s="27" t="s">
        <v>1445</v>
      </c>
      <c r="F3" s="27" t="s">
        <v>1460</v>
      </c>
      <c r="G3" s="29">
        <v>6979</v>
      </c>
      <c r="I3" s="27" t="s">
        <v>1457</v>
      </c>
      <c r="J3">
        <v>65</v>
      </c>
    </row>
    <row r="4" spans="1:10" x14ac:dyDescent="0.25">
      <c r="B4" t="s">
        <v>1442</v>
      </c>
      <c r="C4" t="s">
        <v>1443</v>
      </c>
      <c r="D4" s="27">
        <v>2</v>
      </c>
      <c r="E4" s="27" t="s">
        <v>1446</v>
      </c>
      <c r="F4" s="27" t="s">
        <v>1447</v>
      </c>
      <c r="G4" s="29">
        <v>145781.6</v>
      </c>
      <c r="I4" s="27" t="s">
        <v>1447</v>
      </c>
    </row>
    <row r="5" spans="1:10" x14ac:dyDescent="0.25">
      <c r="B5" t="s">
        <v>1449</v>
      </c>
      <c r="C5" t="s">
        <v>1450</v>
      </c>
      <c r="D5" s="27">
        <v>3</v>
      </c>
      <c r="E5" s="27" t="s">
        <v>1451</v>
      </c>
      <c r="F5" s="27" t="s">
        <v>1452</v>
      </c>
      <c r="G5" s="29">
        <v>29253.9</v>
      </c>
      <c r="I5" s="27" t="s">
        <v>1457</v>
      </c>
      <c r="J5">
        <v>260</v>
      </c>
    </row>
    <row r="6" spans="1:10" x14ac:dyDescent="0.25">
      <c r="B6" t="s">
        <v>1463</v>
      </c>
      <c r="C6" t="s">
        <v>1461</v>
      </c>
      <c r="D6" s="27">
        <v>4</v>
      </c>
      <c r="E6" s="27" t="s">
        <v>1464</v>
      </c>
      <c r="F6" s="27" t="s">
        <v>1465</v>
      </c>
      <c r="G6" s="29">
        <v>58000</v>
      </c>
      <c r="I6" s="27" t="s">
        <v>1462</v>
      </c>
      <c r="J6">
        <f>387+133</f>
        <v>520</v>
      </c>
    </row>
    <row r="7" spans="1:10" x14ac:dyDescent="0.25">
      <c r="B7" t="s">
        <v>1467</v>
      </c>
      <c r="C7" t="s">
        <v>1466</v>
      </c>
      <c r="D7" s="27">
        <v>5</v>
      </c>
      <c r="E7" s="27" t="s">
        <v>1468</v>
      </c>
      <c r="F7" s="27" t="s">
        <v>1469</v>
      </c>
      <c r="G7" s="29">
        <v>51235</v>
      </c>
      <c r="I7" s="27" t="s">
        <v>1457</v>
      </c>
      <c r="J7">
        <v>934</v>
      </c>
    </row>
    <row r="8" spans="1:10" x14ac:dyDescent="0.25">
      <c r="B8" t="s">
        <v>1471</v>
      </c>
      <c r="C8" t="s">
        <v>1470</v>
      </c>
      <c r="D8" s="27">
        <v>6</v>
      </c>
      <c r="E8" s="27" t="s">
        <v>1445</v>
      </c>
      <c r="F8" s="27" t="s">
        <v>1460</v>
      </c>
      <c r="G8" s="29">
        <v>2180</v>
      </c>
      <c r="I8" s="27" t="s">
        <v>1458</v>
      </c>
      <c r="J8">
        <v>20</v>
      </c>
    </row>
    <row r="9" spans="1:10" x14ac:dyDescent="0.25">
      <c r="B9" t="s">
        <v>1472</v>
      </c>
      <c r="C9" t="s">
        <v>1473</v>
      </c>
      <c r="D9" s="27">
        <v>7</v>
      </c>
      <c r="E9" s="27" t="s">
        <v>1475</v>
      </c>
      <c r="F9" s="27" t="s">
        <v>1474</v>
      </c>
      <c r="G9" s="29">
        <v>1209</v>
      </c>
      <c r="I9" s="27" t="s">
        <v>1458</v>
      </c>
      <c r="J9">
        <v>9</v>
      </c>
    </row>
    <row r="10" spans="1:10" x14ac:dyDescent="0.25">
      <c r="B10" t="s">
        <v>1478</v>
      </c>
      <c r="C10" t="s">
        <v>1476</v>
      </c>
      <c r="D10" s="27">
        <v>8</v>
      </c>
      <c r="E10" s="27" t="s">
        <v>1477</v>
      </c>
      <c r="F10" s="27" t="s">
        <v>1492</v>
      </c>
      <c r="G10" s="29">
        <v>60000</v>
      </c>
      <c r="I10" s="27" t="s">
        <v>1457</v>
      </c>
      <c r="J10">
        <v>165</v>
      </c>
    </row>
    <row r="11" spans="1:10" x14ac:dyDescent="0.25">
      <c r="B11" t="s">
        <v>1481</v>
      </c>
      <c r="C11" t="s">
        <v>1479</v>
      </c>
      <c r="D11" s="27">
        <v>9</v>
      </c>
      <c r="E11" s="27" t="s">
        <v>1480</v>
      </c>
      <c r="F11" s="27" t="s">
        <v>1452</v>
      </c>
      <c r="G11" s="29">
        <v>59000</v>
      </c>
      <c r="I11" s="27" t="s">
        <v>1457</v>
      </c>
      <c r="J11">
        <v>527</v>
      </c>
    </row>
    <row r="12" spans="1:10" x14ac:dyDescent="0.25">
      <c r="B12" t="s">
        <v>1485</v>
      </c>
      <c r="C12" t="s">
        <v>1482</v>
      </c>
      <c r="D12" s="27">
        <v>10</v>
      </c>
      <c r="E12" s="27" t="s">
        <v>1483</v>
      </c>
      <c r="F12" s="27" t="s">
        <v>1484</v>
      </c>
      <c r="G12" s="29">
        <v>3358</v>
      </c>
      <c r="I12" s="27" t="s">
        <v>1458</v>
      </c>
      <c r="J12">
        <v>29</v>
      </c>
    </row>
    <row r="13" spans="1:10" x14ac:dyDescent="0.25">
      <c r="B13" t="s">
        <v>1487</v>
      </c>
      <c r="C13" t="s">
        <v>1486</v>
      </c>
      <c r="D13" s="27">
        <v>11</v>
      </c>
      <c r="E13" s="27" t="s">
        <v>1477</v>
      </c>
      <c r="F13" s="27" t="s">
        <v>1492</v>
      </c>
      <c r="G13" s="29">
        <v>19241</v>
      </c>
      <c r="I13" s="27" t="s">
        <v>1511</v>
      </c>
      <c r="J13">
        <v>166</v>
      </c>
    </row>
    <row r="14" spans="1:10" x14ac:dyDescent="0.25">
      <c r="B14" t="s">
        <v>1488</v>
      </c>
      <c r="C14" t="s">
        <v>1489</v>
      </c>
      <c r="D14" s="27">
        <v>12</v>
      </c>
      <c r="E14" s="27" t="s">
        <v>1490</v>
      </c>
      <c r="F14" s="27" t="s">
        <v>1491</v>
      </c>
      <c r="G14" s="29">
        <v>18396</v>
      </c>
      <c r="I14" s="27" t="s">
        <v>1457</v>
      </c>
    </row>
    <row r="15" spans="1:10" x14ac:dyDescent="0.25">
      <c r="B15" t="s">
        <v>1496</v>
      </c>
      <c r="C15" t="s">
        <v>1493</v>
      </c>
      <c r="D15" s="27">
        <v>13</v>
      </c>
      <c r="E15" s="27" t="s">
        <v>1495</v>
      </c>
      <c r="F15" s="27" t="s">
        <v>1494</v>
      </c>
      <c r="G15" s="29">
        <v>31126.5</v>
      </c>
      <c r="I15" s="27" t="s">
        <v>1457</v>
      </c>
    </row>
    <row r="16" spans="1:10" x14ac:dyDescent="0.25">
      <c r="B16" t="s">
        <v>1498</v>
      </c>
      <c r="C16" t="s">
        <v>1499</v>
      </c>
      <c r="D16" s="27">
        <v>14</v>
      </c>
      <c r="E16" s="27" t="s">
        <v>1475</v>
      </c>
      <c r="F16" s="27" t="s">
        <v>1500</v>
      </c>
      <c r="G16" s="29">
        <v>1269</v>
      </c>
      <c r="I16" s="27" t="s">
        <v>1501</v>
      </c>
      <c r="J16" s="27" t="s">
        <v>1502</v>
      </c>
    </row>
    <row r="17" spans="2:10" x14ac:dyDescent="0.25">
      <c r="C17" t="s">
        <v>1503</v>
      </c>
      <c r="D17" s="27">
        <v>15</v>
      </c>
      <c r="E17" s="27" t="s">
        <v>1495</v>
      </c>
      <c r="F17" s="27" t="s">
        <v>1504</v>
      </c>
      <c r="G17" s="29">
        <v>39589.599999999999</v>
      </c>
      <c r="I17" s="27" t="s">
        <v>1457</v>
      </c>
      <c r="J17" s="27">
        <v>355</v>
      </c>
    </row>
    <row r="18" spans="2:10" x14ac:dyDescent="0.25">
      <c r="B18" t="s">
        <v>1506</v>
      </c>
      <c r="C18" t="s">
        <v>1505</v>
      </c>
      <c r="D18" s="27">
        <v>16</v>
      </c>
      <c r="E18" s="27" t="s">
        <v>1490</v>
      </c>
      <c r="F18" s="27" t="s">
        <v>1491</v>
      </c>
      <c r="G18" s="29">
        <v>18396</v>
      </c>
      <c r="I18" s="27" t="s">
        <v>1457</v>
      </c>
      <c r="J18" s="27">
        <v>165</v>
      </c>
    </row>
    <row r="19" spans="2:10" x14ac:dyDescent="0.25">
      <c r="C19" t="s">
        <v>1507</v>
      </c>
      <c r="D19" s="27">
        <v>17</v>
      </c>
      <c r="E19" s="27" t="s">
        <v>1509</v>
      </c>
      <c r="F19" s="27" t="s">
        <v>1508</v>
      </c>
      <c r="G19" s="29">
        <v>3431.8530000000001</v>
      </c>
      <c r="I19" s="27" t="s">
        <v>1458</v>
      </c>
      <c r="J19" s="27">
        <v>32</v>
      </c>
    </row>
    <row r="20" spans="2:10" x14ac:dyDescent="0.25">
      <c r="C20" t="s">
        <v>1510</v>
      </c>
      <c r="D20" s="27">
        <v>18</v>
      </c>
      <c r="E20" s="27" t="s">
        <v>1477</v>
      </c>
      <c r="F20" s="27" t="s">
        <v>1492</v>
      </c>
      <c r="I20" s="27" t="s">
        <v>1511</v>
      </c>
      <c r="J20" s="27">
        <v>166</v>
      </c>
    </row>
    <row r="21" spans="2:10" x14ac:dyDescent="0.25">
      <c r="B21" t="s">
        <v>1513</v>
      </c>
      <c r="C21" t="s">
        <v>1512</v>
      </c>
      <c r="D21" s="27">
        <v>19</v>
      </c>
      <c r="E21" s="27" t="s">
        <v>1515</v>
      </c>
      <c r="F21" s="27" t="s">
        <v>1514</v>
      </c>
      <c r="G21" s="29">
        <v>39000</v>
      </c>
      <c r="I21" s="27" t="s">
        <v>1457</v>
      </c>
      <c r="J21" s="27"/>
    </row>
    <row r="22" spans="2:10" x14ac:dyDescent="0.25">
      <c r="B22" t="s">
        <v>1517</v>
      </c>
      <c r="C22" s="53" t="s">
        <v>1516</v>
      </c>
      <c r="D22" s="27">
        <v>20</v>
      </c>
      <c r="E22" s="27" t="s">
        <v>1519</v>
      </c>
      <c r="F22" s="27" t="s">
        <v>1518</v>
      </c>
      <c r="G22" s="29">
        <v>14434.5</v>
      </c>
      <c r="I22" s="27" t="s">
        <v>1457</v>
      </c>
      <c r="J22" s="27">
        <v>127</v>
      </c>
    </row>
    <row r="23" spans="2:10" x14ac:dyDescent="0.25">
      <c r="C23" s="53" t="s">
        <v>1520</v>
      </c>
      <c r="D23" s="27">
        <v>21</v>
      </c>
      <c r="E23" s="27" t="s">
        <v>1521</v>
      </c>
      <c r="F23" s="27" t="s">
        <v>1522</v>
      </c>
      <c r="G23" s="29">
        <v>3039</v>
      </c>
      <c r="I23" s="27" t="s">
        <v>1458</v>
      </c>
      <c r="J23" s="27">
        <v>27</v>
      </c>
    </row>
    <row r="24" spans="2:10" x14ac:dyDescent="0.25">
      <c r="C24" s="53" t="s">
        <v>1523</v>
      </c>
      <c r="D24" s="27">
        <v>22</v>
      </c>
      <c r="E24" s="27" t="s">
        <v>1477</v>
      </c>
      <c r="F24" s="27" t="s">
        <v>1492</v>
      </c>
      <c r="G24" s="29">
        <v>31000</v>
      </c>
      <c r="I24" s="27" t="s">
        <v>1457</v>
      </c>
      <c r="J24" s="27"/>
    </row>
    <row r="25" spans="2:10" x14ac:dyDescent="0.25">
      <c r="B25" t="s">
        <v>1525</v>
      </c>
      <c r="C25" s="53" t="s">
        <v>1524</v>
      </c>
      <c r="D25" s="27">
        <v>23</v>
      </c>
      <c r="E25" s="27" t="s">
        <v>1526</v>
      </c>
      <c r="F25" s="27" t="s">
        <v>1452</v>
      </c>
      <c r="J25" s="27"/>
    </row>
    <row r="26" spans="2:10" x14ac:dyDescent="0.25">
      <c r="B26" t="s">
        <v>1527</v>
      </c>
      <c r="C26" s="53" t="s">
        <v>1528</v>
      </c>
      <c r="D26" s="27">
        <v>24</v>
      </c>
      <c r="E26" s="27" t="s">
        <v>1529</v>
      </c>
      <c r="F26" s="27" t="s">
        <v>1530</v>
      </c>
      <c r="G26" s="29">
        <v>22673</v>
      </c>
      <c r="I26" s="27" t="s">
        <v>1457</v>
      </c>
      <c r="J26" s="27"/>
    </row>
    <row r="27" spans="2:10" x14ac:dyDescent="0.25">
      <c r="B27" t="s">
        <v>1531</v>
      </c>
      <c r="C27" s="53" t="s">
        <v>1532</v>
      </c>
      <c r="D27" s="27">
        <v>25</v>
      </c>
      <c r="E27" s="27" t="s">
        <v>1533</v>
      </c>
      <c r="F27" s="27" t="s">
        <v>1534</v>
      </c>
      <c r="G27" s="29">
        <v>264726</v>
      </c>
      <c r="I27" s="27" t="s">
        <v>1457</v>
      </c>
      <c r="J27" s="27">
        <v>2332</v>
      </c>
    </row>
    <row r="28" spans="2:10" x14ac:dyDescent="0.25">
      <c r="B28" t="s">
        <v>1535</v>
      </c>
      <c r="C28" s="53" t="s">
        <v>1536</v>
      </c>
      <c r="D28" s="27">
        <v>26</v>
      </c>
      <c r="E28" s="27" t="s">
        <v>1537</v>
      </c>
      <c r="F28" s="27" t="s">
        <v>1469</v>
      </c>
      <c r="G28" s="29">
        <v>17257.599999999999</v>
      </c>
      <c r="I28" s="27" t="s">
        <v>1457</v>
      </c>
      <c r="J28" s="27">
        <v>153</v>
      </c>
    </row>
    <row r="29" spans="2:10" x14ac:dyDescent="0.25">
      <c r="C29" s="53" t="s">
        <v>1538</v>
      </c>
      <c r="D29" s="27">
        <v>27</v>
      </c>
      <c r="G29" s="29">
        <v>1811.2529999999999</v>
      </c>
      <c r="I29" s="27" t="s">
        <v>1458</v>
      </c>
      <c r="J29" s="27">
        <v>15</v>
      </c>
    </row>
    <row r="30" spans="2:10" x14ac:dyDescent="0.25">
      <c r="B30" t="s">
        <v>1539</v>
      </c>
      <c r="C30" s="53" t="s">
        <v>1540</v>
      </c>
      <c r="D30" s="27">
        <v>28</v>
      </c>
      <c r="G30" s="29">
        <v>142682.29999999999</v>
      </c>
      <c r="I30" s="27" t="s">
        <v>1511</v>
      </c>
      <c r="J30" s="27"/>
    </row>
    <row r="31" spans="2:10" x14ac:dyDescent="0.25">
      <c r="C31" s="53" t="s">
        <v>1541</v>
      </c>
      <c r="D31" s="27">
        <v>29</v>
      </c>
      <c r="E31" s="27" t="s">
        <v>1495</v>
      </c>
      <c r="F31" s="27" t="s">
        <v>1452</v>
      </c>
      <c r="G31" s="29">
        <v>59042.3</v>
      </c>
      <c r="I31" s="27" t="s">
        <v>1457</v>
      </c>
      <c r="J31" s="27">
        <v>527</v>
      </c>
    </row>
    <row r="32" spans="2:10" x14ac:dyDescent="0.25">
      <c r="B32" t="s">
        <v>1543</v>
      </c>
      <c r="C32" s="53" t="s">
        <v>1542</v>
      </c>
      <c r="D32" s="27">
        <v>30</v>
      </c>
      <c r="E32" s="27" t="s">
        <v>1544</v>
      </c>
      <c r="F32" s="27" t="s">
        <v>1545</v>
      </c>
      <c r="G32" s="29">
        <v>5808</v>
      </c>
      <c r="I32" s="27" t="s">
        <v>1457</v>
      </c>
      <c r="J32" s="27">
        <v>51</v>
      </c>
    </row>
    <row r="33" spans="2:10" x14ac:dyDescent="0.25">
      <c r="B33" t="s">
        <v>1546</v>
      </c>
      <c r="C33" s="53" t="s">
        <v>1547</v>
      </c>
      <c r="D33" s="27">
        <v>31</v>
      </c>
      <c r="E33" s="27" t="s">
        <v>1495</v>
      </c>
      <c r="F33" s="27" t="s">
        <v>1504</v>
      </c>
      <c r="G33" s="29">
        <v>58951.199999999997</v>
      </c>
      <c r="I33" s="27" t="s">
        <v>1457</v>
      </c>
      <c r="J33" s="27">
        <v>527</v>
      </c>
    </row>
    <row r="34" spans="2:10" x14ac:dyDescent="0.25">
      <c r="B34" t="s">
        <v>1548</v>
      </c>
      <c r="C34" s="53" t="s">
        <v>1549</v>
      </c>
      <c r="D34" s="27">
        <v>32</v>
      </c>
      <c r="E34" s="27" t="s">
        <v>1550</v>
      </c>
      <c r="F34" s="27" t="s">
        <v>1551</v>
      </c>
      <c r="G34" s="29">
        <v>23390.3</v>
      </c>
      <c r="I34" s="27" t="s">
        <v>1511</v>
      </c>
      <c r="J34" s="27"/>
    </row>
    <row r="35" spans="2:10" x14ac:dyDescent="0.25">
      <c r="B35" t="s">
        <v>1552</v>
      </c>
      <c r="C35" s="53" t="s">
        <v>1553</v>
      </c>
      <c r="D35" s="27">
        <v>33</v>
      </c>
      <c r="E35" s="27" t="s">
        <v>1477</v>
      </c>
      <c r="F35" s="27" t="s">
        <v>1492</v>
      </c>
      <c r="G35" s="29">
        <v>17145.599999999999</v>
      </c>
      <c r="I35" s="27" t="s">
        <v>1457</v>
      </c>
      <c r="J35" s="27">
        <v>140</v>
      </c>
    </row>
    <row r="36" spans="2:10" x14ac:dyDescent="0.25">
      <c r="C36" s="53" t="s">
        <v>1554</v>
      </c>
      <c r="D36" s="27">
        <v>34</v>
      </c>
      <c r="E36" s="27" t="s">
        <v>1477</v>
      </c>
      <c r="F36" s="27" t="s">
        <v>1492</v>
      </c>
      <c r="G36" s="29">
        <v>19241.099999999999</v>
      </c>
      <c r="I36" s="27" t="s">
        <v>1457</v>
      </c>
      <c r="J36" s="27">
        <v>165</v>
      </c>
    </row>
    <row r="37" spans="2:10" x14ac:dyDescent="0.25">
      <c r="B37" t="s">
        <v>1558</v>
      </c>
      <c r="C37" s="53" t="s">
        <v>1555</v>
      </c>
      <c r="D37" s="27">
        <v>35</v>
      </c>
      <c r="E37" s="27" t="s">
        <v>1556</v>
      </c>
      <c r="F37" s="27" t="s">
        <v>1557</v>
      </c>
      <c r="G37" s="29">
        <v>1069</v>
      </c>
      <c r="I37" s="27" t="s">
        <v>1458</v>
      </c>
      <c r="J37" s="27">
        <v>8</v>
      </c>
    </row>
    <row r="38" spans="2:10" x14ac:dyDescent="0.25">
      <c r="B38" t="s">
        <v>1560</v>
      </c>
      <c r="C38" s="53" t="s">
        <v>1559</v>
      </c>
      <c r="D38" s="27">
        <v>36</v>
      </c>
      <c r="E38" s="27" t="s">
        <v>1561</v>
      </c>
      <c r="F38" s="27" t="s">
        <v>1452</v>
      </c>
      <c r="G38" s="29">
        <v>45079</v>
      </c>
      <c r="J38" s="27"/>
    </row>
    <row r="39" spans="2:10" x14ac:dyDescent="0.25">
      <c r="C39" s="53" t="s">
        <v>1554</v>
      </c>
      <c r="D39" s="27">
        <v>37</v>
      </c>
      <c r="E39" s="27" t="s">
        <v>1477</v>
      </c>
      <c r="F39" s="27" t="s">
        <v>1492</v>
      </c>
      <c r="G39" s="29">
        <v>19241.099999999999</v>
      </c>
      <c r="I39" s="27" t="s">
        <v>1457</v>
      </c>
      <c r="J39" s="27">
        <v>165</v>
      </c>
    </row>
    <row r="40" spans="2:10" x14ac:dyDescent="0.25">
      <c r="B40" t="s">
        <v>1563</v>
      </c>
      <c r="C40" s="53" t="s">
        <v>1562</v>
      </c>
      <c r="D40" s="27">
        <v>38</v>
      </c>
      <c r="E40" s="27" t="s">
        <v>1564</v>
      </c>
      <c r="F40" s="27" t="s">
        <v>1565</v>
      </c>
      <c r="G40" s="29">
        <v>19047</v>
      </c>
      <c r="I40" s="27" t="s">
        <v>1457</v>
      </c>
      <c r="J40" s="27">
        <v>177</v>
      </c>
    </row>
    <row r="41" spans="2:10" x14ac:dyDescent="0.25">
      <c r="B41" t="s">
        <v>1566</v>
      </c>
      <c r="C41" s="53" t="s">
        <v>1567</v>
      </c>
      <c r="D41" s="27">
        <v>39</v>
      </c>
      <c r="E41" s="27" t="s">
        <v>1568</v>
      </c>
      <c r="F41" s="27" t="s">
        <v>1569</v>
      </c>
      <c r="G41" s="29">
        <v>16192.7</v>
      </c>
      <c r="I41" s="27" t="s">
        <v>1457</v>
      </c>
      <c r="J41" s="27">
        <v>140</v>
      </c>
    </row>
    <row r="42" spans="2:10" x14ac:dyDescent="0.25">
      <c r="B42" t="s">
        <v>1571</v>
      </c>
      <c r="C42" s="53" t="s">
        <v>1570</v>
      </c>
      <c r="D42" s="27">
        <v>40</v>
      </c>
      <c r="E42" s="27" t="s">
        <v>1572</v>
      </c>
      <c r="F42" s="27" t="s">
        <v>1573</v>
      </c>
      <c r="G42" s="29">
        <v>3767.1</v>
      </c>
      <c r="I42" s="27" t="s">
        <v>1458</v>
      </c>
      <c r="J42" s="27">
        <v>29</v>
      </c>
    </row>
    <row r="43" spans="2:10" x14ac:dyDescent="0.25">
      <c r="B43" t="s">
        <v>1574</v>
      </c>
      <c r="C43" s="53" t="s">
        <v>1575</v>
      </c>
      <c r="D43" s="27">
        <v>41</v>
      </c>
      <c r="E43" s="27" t="s">
        <v>1576</v>
      </c>
      <c r="F43" s="27" t="s">
        <v>1577</v>
      </c>
      <c r="G43" s="29">
        <v>15314.8</v>
      </c>
      <c r="I43" s="27" t="s">
        <v>1457</v>
      </c>
      <c r="J43" s="27">
        <v>12</v>
      </c>
    </row>
    <row r="44" spans="2:10" x14ac:dyDescent="0.25">
      <c r="B44" t="s">
        <v>1578</v>
      </c>
      <c r="C44" s="53" t="s">
        <v>1579</v>
      </c>
      <c r="D44" s="27">
        <v>42</v>
      </c>
      <c r="G44" s="29">
        <v>150804</v>
      </c>
      <c r="J44" s="27"/>
    </row>
    <row r="45" spans="2:10" x14ac:dyDescent="0.25">
      <c r="B45" t="s">
        <v>1580</v>
      </c>
      <c r="C45" s="53" t="s">
        <v>1581</v>
      </c>
      <c r="D45" s="27">
        <v>43</v>
      </c>
      <c r="E45" s="27" t="s">
        <v>1582</v>
      </c>
      <c r="F45" s="27" t="s">
        <v>1447</v>
      </c>
      <c r="G45" s="29">
        <v>149000</v>
      </c>
      <c r="I45" s="27" t="s">
        <v>1447</v>
      </c>
      <c r="J45" s="27"/>
    </row>
    <row r="46" spans="2:10" x14ac:dyDescent="0.25">
      <c r="C46" s="53" t="s">
        <v>1583</v>
      </c>
      <c r="D46" s="27">
        <v>44</v>
      </c>
      <c r="E46" s="27" t="s">
        <v>1584</v>
      </c>
      <c r="F46" s="27" t="s">
        <v>1585</v>
      </c>
      <c r="G46" s="29">
        <v>30000</v>
      </c>
      <c r="I46" s="27" t="s">
        <v>1457</v>
      </c>
      <c r="J46" s="27"/>
    </row>
    <row r="47" spans="2:10" x14ac:dyDescent="0.25">
      <c r="C47" s="53" t="s">
        <v>1586</v>
      </c>
      <c r="D47" s="27">
        <v>45</v>
      </c>
      <c r="G47" s="29">
        <v>27743</v>
      </c>
      <c r="J47" s="27"/>
    </row>
    <row r="48" spans="2:10" x14ac:dyDescent="0.25">
      <c r="B48" t="s">
        <v>1412</v>
      </c>
      <c r="C48" s="53" t="s">
        <v>1587</v>
      </c>
      <c r="D48" s="27">
        <v>46</v>
      </c>
      <c r="E48" s="27" t="s">
        <v>1544</v>
      </c>
      <c r="F48" s="27" t="s">
        <v>1545</v>
      </c>
      <c r="G48" s="29">
        <v>5808</v>
      </c>
      <c r="I48" s="27" t="s">
        <v>1457</v>
      </c>
      <c r="J48" s="27">
        <v>51</v>
      </c>
    </row>
    <row r="49" spans="2:10" x14ac:dyDescent="0.25">
      <c r="B49" t="s">
        <v>1589</v>
      </c>
      <c r="C49" s="53" t="s">
        <v>1588</v>
      </c>
      <c r="D49" s="27">
        <v>47</v>
      </c>
      <c r="E49" s="27" t="s">
        <v>1544</v>
      </c>
      <c r="F49" s="27" t="s">
        <v>1545</v>
      </c>
      <c r="G49" s="29">
        <v>6063</v>
      </c>
      <c r="I49" s="27" t="s">
        <v>1457</v>
      </c>
      <c r="J49" s="27"/>
    </row>
    <row r="50" spans="2:10" x14ac:dyDescent="0.25">
      <c r="B50" t="s">
        <v>1591</v>
      </c>
      <c r="C50" s="53" t="s">
        <v>1590</v>
      </c>
      <c r="D50" s="27">
        <v>48</v>
      </c>
      <c r="F50" s="27" t="s">
        <v>1452</v>
      </c>
      <c r="J50" s="27"/>
    </row>
    <row r="51" spans="2:10" x14ac:dyDescent="0.25">
      <c r="B51" t="s">
        <v>1593</v>
      </c>
      <c r="C51" s="53" t="s">
        <v>1592</v>
      </c>
      <c r="D51" s="27">
        <v>49</v>
      </c>
      <c r="G51" s="29">
        <v>34109.5</v>
      </c>
      <c r="J51" s="27"/>
    </row>
    <row r="52" spans="2:10" x14ac:dyDescent="0.25">
      <c r="C52" s="53" t="s">
        <v>1594</v>
      </c>
      <c r="D52" s="27">
        <v>50</v>
      </c>
      <c r="E52" s="27" t="s">
        <v>1475</v>
      </c>
      <c r="F52" s="27" t="s">
        <v>1474</v>
      </c>
      <c r="G52" s="29">
        <v>1431</v>
      </c>
      <c r="I52" s="27" t="s">
        <v>1458</v>
      </c>
      <c r="J52" s="27">
        <v>10</v>
      </c>
    </row>
    <row r="53" spans="2:10" x14ac:dyDescent="0.25">
      <c r="B53" t="s">
        <v>1404</v>
      </c>
      <c r="C53" s="53" t="s">
        <v>1595</v>
      </c>
      <c r="D53" s="27">
        <v>51</v>
      </c>
      <c r="E53" s="27" t="s">
        <v>1468</v>
      </c>
      <c r="F53" s="27" t="s">
        <v>1447</v>
      </c>
      <c r="G53" s="29">
        <v>144190</v>
      </c>
      <c r="I53" s="27" t="s">
        <v>1447</v>
      </c>
      <c r="J53" s="27"/>
    </row>
    <row r="54" spans="2:10" x14ac:dyDescent="0.25">
      <c r="B54" t="s">
        <v>1599</v>
      </c>
      <c r="C54" s="53" t="s">
        <v>1598</v>
      </c>
      <c r="D54" s="27">
        <v>52</v>
      </c>
      <c r="E54" s="27" t="s">
        <v>1600</v>
      </c>
      <c r="F54" s="27" t="s">
        <v>1601</v>
      </c>
      <c r="G54" s="29">
        <v>22129</v>
      </c>
      <c r="I54" s="27" t="s">
        <v>1457</v>
      </c>
      <c r="J54" s="27"/>
    </row>
    <row r="55" spans="2:10" x14ac:dyDescent="0.25">
      <c r="B55" t="s">
        <v>1597</v>
      </c>
      <c r="C55" s="53" t="s">
        <v>1596</v>
      </c>
      <c r="D55" s="27">
        <v>53</v>
      </c>
      <c r="F55" s="27" t="s">
        <v>1452</v>
      </c>
      <c r="G55" s="29">
        <v>55597.4</v>
      </c>
      <c r="I55" s="27" t="s">
        <v>1457</v>
      </c>
      <c r="J55" s="27">
        <v>497</v>
      </c>
    </row>
    <row r="56" spans="2:10" x14ac:dyDescent="0.25">
      <c r="C56" s="53" t="s">
        <v>1602</v>
      </c>
      <c r="D56" s="27">
        <v>54</v>
      </c>
      <c r="F56" s="27" t="s">
        <v>1447</v>
      </c>
      <c r="G56" s="29">
        <v>145651</v>
      </c>
      <c r="I56" s="27" t="s">
        <v>1447</v>
      </c>
      <c r="J56" s="27"/>
    </row>
    <row r="57" spans="2:10" x14ac:dyDescent="0.25">
      <c r="B57" t="s">
        <v>1307</v>
      </c>
      <c r="C57" t="s">
        <v>1439</v>
      </c>
      <c r="D57" s="27">
        <v>9029</v>
      </c>
      <c r="E57" s="27" t="s">
        <v>1453</v>
      </c>
      <c r="F57" s="27" t="s">
        <v>1447</v>
      </c>
      <c r="I57" s="27" t="s">
        <v>1447</v>
      </c>
    </row>
    <row r="58" spans="2:10" x14ac:dyDescent="0.25">
      <c r="C58" s="53" t="s">
        <v>1520</v>
      </c>
      <c r="D58" s="27">
        <v>9532</v>
      </c>
      <c r="E58" s="27" t="s">
        <v>1521</v>
      </c>
      <c r="F58" s="27" t="s">
        <v>1522</v>
      </c>
      <c r="G58" s="29">
        <v>3039</v>
      </c>
      <c r="I58" s="27" t="s">
        <v>1458</v>
      </c>
      <c r="J58" s="27">
        <v>27</v>
      </c>
    </row>
  </sheetData>
  <hyperlinks>
    <hyperlink ref="A1" location="Main!A1" display="Main" xr:uid="{9B4C975A-472F-4AC3-A5DF-EA00FA63D95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F603-26EF-460C-BE47-994A641FADD0}">
  <dimension ref="A1:N31"/>
  <sheetViews>
    <sheetView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8.81640625" defaultRowHeight="12.5" outlineLevelRow="1" x14ac:dyDescent="0.25"/>
  <cols>
    <col min="1" max="1" width="5" bestFit="1" customWidth="1"/>
    <col min="2" max="2" width="13.1796875" bestFit="1" customWidth="1"/>
    <col min="3" max="10" width="9.1796875" style="27"/>
  </cols>
  <sheetData>
    <row r="1" spans="1:14" x14ac:dyDescent="0.25">
      <c r="A1" s="5" t="s">
        <v>282</v>
      </c>
    </row>
    <row r="2" spans="1:14" x14ac:dyDescent="0.25">
      <c r="C2" s="27" t="s">
        <v>645</v>
      </c>
      <c r="D2" s="27" t="s">
        <v>1284</v>
      </c>
      <c r="E2" s="27" t="s">
        <v>1285</v>
      </c>
      <c r="F2" s="27" t="s">
        <v>1109</v>
      </c>
      <c r="G2" s="27" t="s">
        <v>1036</v>
      </c>
      <c r="H2" s="27" t="s">
        <v>1066</v>
      </c>
      <c r="I2" s="27" t="s">
        <v>1272</v>
      </c>
      <c r="J2" s="27" t="s">
        <v>1273</v>
      </c>
      <c r="M2">
        <v>2023</v>
      </c>
      <c r="N2">
        <v>2024</v>
      </c>
    </row>
    <row r="3" spans="1:14" x14ac:dyDescent="0.25">
      <c r="B3" t="s">
        <v>13</v>
      </c>
      <c r="C3" s="29"/>
      <c r="D3" s="29"/>
      <c r="G3" s="29">
        <v>21382</v>
      </c>
      <c r="H3" s="29">
        <v>22453</v>
      </c>
    </row>
    <row r="4" spans="1:14" x14ac:dyDescent="0.25">
      <c r="B4" t="s">
        <v>25</v>
      </c>
      <c r="C4" s="29"/>
      <c r="D4" s="29"/>
      <c r="G4" s="29">
        <v>15775</v>
      </c>
      <c r="H4" s="29">
        <v>16112</v>
      </c>
    </row>
    <row r="5" spans="1:14" x14ac:dyDescent="0.25">
      <c r="B5" t="s">
        <v>16</v>
      </c>
      <c r="C5" s="29"/>
      <c r="D5" s="29"/>
      <c r="G5" s="29">
        <v>12310</v>
      </c>
      <c r="H5" s="29">
        <v>14462</v>
      </c>
    </row>
    <row r="6" spans="1:14" x14ac:dyDescent="0.25">
      <c r="B6" t="s">
        <v>1247</v>
      </c>
      <c r="C6" s="29"/>
      <c r="D6" s="29"/>
      <c r="G6" s="29">
        <v>8768</v>
      </c>
      <c r="H6" s="29">
        <v>11303</v>
      </c>
    </row>
    <row r="7" spans="1:14" x14ac:dyDescent="0.25">
      <c r="B7" t="s">
        <v>1281</v>
      </c>
      <c r="C7" s="29"/>
      <c r="D7" s="29"/>
      <c r="G7" s="29">
        <f>65349/DKK</f>
        <v>10078.967256350541</v>
      </c>
      <c r="H7" s="29">
        <f>68060/DKK</f>
        <v>10497.092709409751</v>
      </c>
    </row>
    <row r="8" spans="1:14" s="24" customFormat="1" ht="13" x14ac:dyDescent="0.3">
      <c r="B8" s="24" t="s">
        <v>1274</v>
      </c>
      <c r="C8" s="26">
        <f t="shared" ref="C8:F8" si="0">SUM(C3:C7)</f>
        <v>0</v>
      </c>
      <c r="D8" s="26">
        <f t="shared" si="0"/>
        <v>0</v>
      </c>
      <c r="E8" s="26">
        <f t="shared" si="0"/>
        <v>0</v>
      </c>
      <c r="F8" s="26">
        <f t="shared" si="0"/>
        <v>0</v>
      </c>
      <c r="G8" s="26">
        <f>SUM(G3:G7)</f>
        <v>68313.967256350545</v>
      </c>
      <c r="H8" s="26">
        <f>SUM(H3:H7)</f>
        <v>74827.092709409757</v>
      </c>
      <c r="I8" s="25"/>
      <c r="J8" s="25"/>
    </row>
    <row r="9" spans="1:14" s="24" customFormat="1" ht="13" hidden="1" outlineLevel="1" x14ac:dyDescent="0.3">
      <c r="B9" t="s">
        <v>1276</v>
      </c>
      <c r="C9" s="29"/>
      <c r="D9" s="29"/>
      <c r="E9" s="25"/>
      <c r="F9" s="25"/>
      <c r="G9" s="29">
        <v>1534.4</v>
      </c>
      <c r="H9" s="29">
        <v>2031.1</v>
      </c>
      <c r="I9" s="25"/>
      <c r="J9" s="25"/>
    </row>
    <row r="10" spans="1:14" s="24" customFormat="1" ht="13" hidden="1" outlineLevel="1" x14ac:dyDescent="0.3">
      <c r="B10" t="s">
        <v>1277</v>
      </c>
      <c r="C10" s="29"/>
      <c r="D10" s="29"/>
      <c r="E10" s="25"/>
      <c r="F10" s="25"/>
      <c r="G10" s="29">
        <v>5404</v>
      </c>
      <c r="H10" s="29">
        <v>6869</v>
      </c>
      <c r="I10" s="25"/>
      <c r="J10" s="25"/>
    </row>
    <row r="11" spans="1:14" hidden="1" outlineLevel="1" x14ac:dyDescent="0.25">
      <c r="B11" t="s">
        <v>1275</v>
      </c>
      <c r="C11" s="29"/>
      <c r="D11" s="29"/>
      <c r="G11" s="29">
        <v>2108</v>
      </c>
      <c r="H11" s="29">
        <v>2135</v>
      </c>
    </row>
    <row r="12" spans="1:14" hidden="1" outlineLevel="1" x14ac:dyDescent="0.25">
      <c r="B12" t="s">
        <v>1283</v>
      </c>
      <c r="C12" s="29"/>
      <c r="D12" s="29"/>
      <c r="G12" s="29">
        <v>2961</v>
      </c>
      <c r="H12" s="29">
        <v>3073</v>
      </c>
    </row>
    <row r="13" spans="1:14" hidden="1" outlineLevel="1" x14ac:dyDescent="0.25">
      <c r="B13" t="s">
        <v>1282</v>
      </c>
      <c r="C13" s="29"/>
      <c r="D13" s="29"/>
      <c r="G13" s="29">
        <f>9916/DKK</f>
        <v>1529.3736601014853</v>
      </c>
      <c r="H13" s="29">
        <f>10274/DKK</f>
        <v>1584.5890463778398</v>
      </c>
    </row>
    <row r="14" spans="1:14" collapsed="1" x14ac:dyDescent="0.25">
      <c r="B14" t="s">
        <v>1278</v>
      </c>
      <c r="C14" s="29"/>
      <c r="D14" s="29"/>
      <c r="G14" s="29">
        <f>SUM(G9:G13)</f>
        <v>13536.773660101484</v>
      </c>
      <c r="H14" s="29">
        <f>SUM(H9:H13)</f>
        <v>15692.68904637784</v>
      </c>
    </row>
    <row r="15" spans="1:14" x14ac:dyDescent="0.25">
      <c r="B15" t="s">
        <v>1279</v>
      </c>
      <c r="C15" s="29"/>
      <c r="D15" s="29"/>
      <c r="G15" s="29">
        <f>+G8-G14</f>
        <v>54777.193596249061</v>
      </c>
      <c r="H15" s="29">
        <f>+H8-H14</f>
        <v>59134.403663031917</v>
      </c>
    </row>
    <row r="16" spans="1:14" ht="13" x14ac:dyDescent="0.3">
      <c r="B16" t="s">
        <v>1802</v>
      </c>
      <c r="N16" s="99">
        <f>SUM(N17:N21)</f>
        <v>53959.551724137928</v>
      </c>
    </row>
    <row r="17" spans="2:14" x14ac:dyDescent="0.25">
      <c r="B17" t="s">
        <v>1793</v>
      </c>
      <c r="N17" s="30">
        <v>9998</v>
      </c>
    </row>
    <row r="18" spans="2:14" x14ac:dyDescent="0.25">
      <c r="B18" t="s">
        <v>1794</v>
      </c>
      <c r="N18" s="30">
        <v>7795</v>
      </c>
    </row>
    <row r="19" spans="2:14" x14ac:dyDescent="0.25">
      <c r="B19" t="s">
        <v>1795</v>
      </c>
      <c r="N19" s="30">
        <f>45766/7.25</f>
        <v>6312.5517241379312</v>
      </c>
    </row>
    <row r="20" spans="2:14" ht="13" x14ac:dyDescent="0.3">
      <c r="B20" t="s">
        <v>1796</v>
      </c>
      <c r="M20" s="30">
        <v>11988</v>
      </c>
      <c r="N20" s="32">
        <v>11988</v>
      </c>
    </row>
    <row r="21" spans="2:14" x14ac:dyDescent="0.25">
      <c r="B21" t="s">
        <v>1797</v>
      </c>
      <c r="N21" s="30">
        <v>17866</v>
      </c>
    </row>
    <row r="22" spans="2:14" x14ac:dyDescent="0.25">
      <c r="B22" t="s">
        <v>1803</v>
      </c>
      <c r="N22" s="30">
        <v>9214</v>
      </c>
    </row>
    <row r="23" spans="2:14" x14ac:dyDescent="0.25">
      <c r="B23" t="s">
        <v>1798</v>
      </c>
    </row>
    <row r="24" spans="2:14" x14ac:dyDescent="0.25">
      <c r="B24" t="s">
        <v>1799</v>
      </c>
    </row>
    <row r="25" spans="2:14" x14ac:dyDescent="0.25">
      <c r="B25" t="s">
        <v>1800</v>
      </c>
    </row>
    <row r="26" spans="2:14" x14ac:dyDescent="0.25">
      <c r="B26" t="s">
        <v>1801</v>
      </c>
    </row>
    <row r="31" spans="2:14" x14ac:dyDescent="0.25">
      <c r="B31" t="s">
        <v>1280</v>
      </c>
      <c r="C31" s="51" t="e">
        <f>+C15/C8</f>
        <v>#DIV/0!</v>
      </c>
      <c r="D31" s="51" t="e">
        <f>+D15/D8</f>
        <v>#DIV/0!</v>
      </c>
      <c r="G31" s="51">
        <f>+G15/G8</f>
        <v>0.8018447148691531</v>
      </c>
      <c r="H31" s="51">
        <f>+H15/H8</f>
        <v>0.79028065265985625</v>
      </c>
    </row>
  </sheetData>
  <hyperlinks>
    <hyperlink ref="A1" location="Main!A1" display="Main" xr:uid="{C14A8F61-F322-4018-B099-3F41413BB99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F6B9-7887-4D2F-88AC-DEC0C71D2B99}">
  <dimension ref="B2:B23"/>
  <sheetViews>
    <sheetView zoomScale="220" zoomScaleNormal="220" workbookViewId="0">
      <selection activeCell="B24" sqref="B24"/>
    </sheetView>
  </sheetViews>
  <sheetFormatPr defaultColWidth="8.81640625" defaultRowHeight="12.5" x14ac:dyDescent="0.25"/>
  <sheetData>
    <row r="2" spans="2:2" x14ac:dyDescent="0.25">
      <c r="B2" t="s">
        <v>1124</v>
      </c>
    </row>
    <row r="3" spans="2:2" x14ac:dyDescent="0.25">
      <c r="B3" t="s">
        <v>1125</v>
      </c>
    </row>
    <row r="4" spans="2:2" x14ac:dyDescent="0.25">
      <c r="B4" t="s">
        <v>1138</v>
      </c>
    </row>
    <row r="5" spans="2:2" x14ac:dyDescent="0.25">
      <c r="B5" t="s">
        <v>1150</v>
      </c>
    </row>
    <row r="6" spans="2:2" x14ac:dyDescent="0.25">
      <c r="B6" t="s">
        <v>1147</v>
      </c>
    </row>
    <row r="7" spans="2:2" x14ac:dyDescent="0.25">
      <c r="B7" t="s">
        <v>1148</v>
      </c>
    </row>
    <row r="8" spans="2:2" x14ac:dyDescent="0.25">
      <c r="B8" t="s">
        <v>1140</v>
      </c>
    </row>
    <row r="9" spans="2:2" x14ac:dyDescent="0.25">
      <c r="B9" t="s">
        <v>1152</v>
      </c>
    </row>
    <row r="10" spans="2:2" x14ac:dyDescent="0.25">
      <c r="B10" t="s">
        <v>1149</v>
      </c>
    </row>
    <row r="11" spans="2:2" x14ac:dyDescent="0.25">
      <c r="B11" t="s">
        <v>1151</v>
      </c>
    </row>
    <row r="12" spans="2:2" x14ac:dyDescent="0.25">
      <c r="B12" t="s">
        <v>1126</v>
      </c>
    </row>
    <row r="13" spans="2:2" x14ac:dyDescent="0.25">
      <c r="B13" t="s">
        <v>231</v>
      </c>
    </row>
    <row r="14" spans="2:2" x14ac:dyDescent="0.25">
      <c r="B14" t="s">
        <v>1127</v>
      </c>
    </row>
    <row r="15" spans="2:2" x14ac:dyDescent="0.25">
      <c r="B15" t="s">
        <v>1128</v>
      </c>
    </row>
    <row r="16" spans="2:2" x14ac:dyDescent="0.25">
      <c r="B16" t="s">
        <v>1129</v>
      </c>
    </row>
    <row r="17" spans="2:2" x14ac:dyDescent="0.25">
      <c r="B17" t="s">
        <v>1130</v>
      </c>
    </row>
    <row r="18" spans="2:2" x14ac:dyDescent="0.25">
      <c r="B18" t="s">
        <v>1131</v>
      </c>
    </row>
    <row r="19" spans="2:2" x14ac:dyDescent="0.25">
      <c r="B19" t="s">
        <v>1132</v>
      </c>
    </row>
    <row r="20" spans="2:2" x14ac:dyDescent="0.25">
      <c r="B20" t="s">
        <v>1133</v>
      </c>
    </row>
    <row r="21" spans="2:2" x14ac:dyDescent="0.25">
      <c r="B21" t="s">
        <v>1134</v>
      </c>
    </row>
    <row r="22" spans="2:2" x14ac:dyDescent="0.25">
      <c r="B22" t="s">
        <v>1139</v>
      </c>
    </row>
    <row r="23" spans="2:2" x14ac:dyDescent="0.25">
      <c r="B23" t="s">
        <v>1160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F4D5-421B-432D-9B8B-67BB999210AF}">
  <dimension ref="A1:FI85"/>
  <sheetViews>
    <sheetView zoomScale="205" zoomScaleNormal="205" workbookViewId="0">
      <pane xSplit="2" ySplit="2" topLeftCell="C61" activePane="bottomRight" state="frozen"/>
      <selection pane="topRight" activeCell="C1" sqref="C1"/>
      <selection pane="bottomLeft" activeCell="A3" sqref="A3"/>
      <selection pane="bottomRight" activeCell="G70" sqref="G70"/>
    </sheetView>
  </sheetViews>
  <sheetFormatPr defaultColWidth="8.81640625" defaultRowHeight="12.5" x14ac:dyDescent="0.25"/>
  <cols>
    <col min="1" max="1" width="5" bestFit="1" customWidth="1"/>
    <col min="2" max="2" width="13.1796875" customWidth="1"/>
    <col min="6" max="8" width="10.453125" customWidth="1"/>
    <col min="9" max="9" width="5.453125" customWidth="1"/>
    <col min="10" max="19" width="7.453125" style="27" customWidth="1"/>
    <col min="20" max="35" width="7.453125" customWidth="1"/>
    <col min="36" max="39" width="8" customWidth="1"/>
    <col min="40" max="40" width="10.453125" customWidth="1"/>
    <col min="41" max="43" width="9.1796875" style="27"/>
  </cols>
  <sheetData>
    <row r="1" spans="1:164" x14ac:dyDescent="0.25">
      <c r="A1" s="5" t="s">
        <v>282</v>
      </c>
      <c r="AR1" s="30">
        <f>AVERAGE(AR3:AR7,AR15:AR37,AR44:AR60)</f>
        <v>297.49812006360986</v>
      </c>
    </row>
    <row r="2" spans="1:164" x14ac:dyDescent="0.25">
      <c r="A2" s="27" t="s">
        <v>1383</v>
      </c>
      <c r="B2" t="s">
        <v>1087</v>
      </c>
      <c r="C2" t="s">
        <v>631</v>
      </c>
      <c r="D2" t="s">
        <v>1374</v>
      </c>
      <c r="E2" t="s">
        <v>1384</v>
      </c>
      <c r="F2" t="s">
        <v>628</v>
      </c>
      <c r="G2" t="s">
        <v>1440</v>
      </c>
      <c r="H2" s="27" t="s">
        <v>1366</v>
      </c>
      <c r="I2" s="27"/>
      <c r="J2" s="27" t="s">
        <v>1080</v>
      </c>
      <c r="K2" s="27" t="s">
        <v>1081</v>
      </c>
      <c r="L2" s="27" t="s">
        <v>1082</v>
      </c>
      <c r="M2" s="27" t="s">
        <v>1083</v>
      </c>
      <c r="N2" s="27" t="s">
        <v>1084</v>
      </c>
      <c r="O2" s="27" t="s">
        <v>1085</v>
      </c>
      <c r="P2" s="27" t="s">
        <v>1086</v>
      </c>
      <c r="Q2" s="27" t="s">
        <v>1193</v>
      </c>
      <c r="R2" s="27" t="s">
        <v>1388</v>
      </c>
      <c r="S2" s="27" t="s">
        <v>1389</v>
      </c>
      <c r="T2" s="27" t="s">
        <v>1390</v>
      </c>
      <c r="U2" s="27" t="s">
        <v>1391</v>
      </c>
      <c r="V2" s="27" t="s">
        <v>1396</v>
      </c>
      <c r="W2" s="27" t="s">
        <v>1397</v>
      </c>
      <c r="X2" s="27" t="s">
        <v>1398</v>
      </c>
      <c r="Y2" s="27" t="s">
        <v>1399</v>
      </c>
      <c r="Z2" s="27" t="s">
        <v>1413</v>
      </c>
      <c r="AA2" s="27" t="s">
        <v>1414</v>
      </c>
      <c r="AB2" s="27" t="s">
        <v>1415</v>
      </c>
      <c r="AC2" s="27" t="s">
        <v>1681</v>
      </c>
      <c r="AD2" s="27" t="s">
        <v>1682</v>
      </c>
      <c r="AE2" s="27" t="s">
        <v>1683</v>
      </c>
      <c r="AF2" s="27" t="s">
        <v>1684</v>
      </c>
      <c r="AG2" s="27" t="s">
        <v>1685</v>
      </c>
      <c r="AH2" s="27" t="s">
        <v>1686</v>
      </c>
      <c r="AI2" s="27" t="s">
        <v>1687</v>
      </c>
      <c r="AJ2" s="27" t="s">
        <v>2020</v>
      </c>
      <c r="AK2" s="27" t="s">
        <v>2021</v>
      </c>
      <c r="AL2" s="27" t="s">
        <v>2022</v>
      </c>
      <c r="AM2" s="27" t="s">
        <v>2023</v>
      </c>
      <c r="AN2" s="27"/>
      <c r="AO2" s="27" t="s">
        <v>621</v>
      </c>
      <c r="AP2" s="27" t="s">
        <v>622</v>
      </c>
      <c r="AQ2" s="27" t="s">
        <v>623</v>
      </c>
      <c r="AR2" s="27" t="s">
        <v>624</v>
      </c>
      <c r="AS2" s="27" t="s">
        <v>625</v>
      </c>
      <c r="AT2" s="27" t="s">
        <v>626</v>
      </c>
      <c r="AU2" s="27" t="s">
        <v>1037</v>
      </c>
      <c r="AV2" s="27" t="s">
        <v>1038</v>
      </c>
      <c r="AW2" s="27" t="s">
        <v>1039</v>
      </c>
      <c r="AX2" s="27" t="s">
        <v>1040</v>
      </c>
      <c r="AY2" s="27" t="s">
        <v>1041</v>
      </c>
      <c r="AZ2" s="27" t="s">
        <v>1042</v>
      </c>
      <c r="BA2" s="27" t="s">
        <v>1046</v>
      </c>
      <c r="BB2" s="27" t="s">
        <v>1047</v>
      </c>
      <c r="BC2" s="27" t="s">
        <v>1048</v>
      </c>
      <c r="BD2" s="27" t="s">
        <v>1049</v>
      </c>
      <c r="BE2" s="27" t="s">
        <v>1067</v>
      </c>
      <c r="BF2" s="27" t="s">
        <v>1068</v>
      </c>
      <c r="BG2" s="27" t="s">
        <v>1069</v>
      </c>
      <c r="BH2" s="27" t="s">
        <v>1070</v>
      </c>
      <c r="BI2" s="27" t="s">
        <v>1071</v>
      </c>
      <c r="BJ2" s="27" t="s">
        <v>1072</v>
      </c>
      <c r="BK2" s="27" t="s">
        <v>1073</v>
      </c>
      <c r="BL2" s="27" t="s">
        <v>1074</v>
      </c>
      <c r="BM2" s="27" t="s">
        <v>1075</v>
      </c>
      <c r="BN2" s="27" t="s">
        <v>1076</v>
      </c>
      <c r="BO2" s="27" t="s">
        <v>1077</v>
      </c>
      <c r="BP2" s="27" t="s">
        <v>1078</v>
      </c>
      <c r="BQ2" s="27" t="s">
        <v>1079</v>
      </c>
    </row>
    <row r="3" spans="1:164" x14ac:dyDescent="0.25">
      <c r="A3" s="27">
        <v>1</v>
      </c>
      <c r="B3" t="s">
        <v>1404</v>
      </c>
      <c r="C3" t="s">
        <v>17</v>
      </c>
      <c r="D3" t="s">
        <v>1378</v>
      </c>
      <c r="E3">
        <v>3</v>
      </c>
      <c r="F3" t="s">
        <v>1405</v>
      </c>
      <c r="G3" t="s">
        <v>1468</v>
      </c>
      <c r="H3" s="30">
        <f t="shared" ref="H3:H23" si="0">SUM(AO3:GL3)</f>
        <v>233470</v>
      </c>
      <c r="I3" s="30"/>
      <c r="J3" s="29">
        <f>SUM(AO3:AR3)</f>
        <v>280</v>
      </c>
      <c r="K3" s="29">
        <f>SUM(AS3:AV3)</f>
        <v>852</v>
      </c>
      <c r="L3" s="29">
        <f>SUM(AW3:AZ3)</f>
        <v>1400</v>
      </c>
      <c r="M3" s="29">
        <f>SUM(BA3:BD3)</f>
        <v>2044</v>
      </c>
      <c r="N3" s="29">
        <f>SUM(BE3:BH3)</f>
        <v>3063</v>
      </c>
      <c r="O3" s="29">
        <f>SUM(BI3:BL3)</f>
        <v>4522</v>
      </c>
      <c r="P3" s="29">
        <f>SUM(BM3:BP3)</f>
        <v>5488</v>
      </c>
      <c r="Q3" s="29">
        <f t="shared" ref="Q3:Q23" si="1">SUM(BQ3:BT3)</f>
        <v>6548</v>
      </c>
      <c r="R3" s="29">
        <f t="shared" ref="R3:R23" si="2">SUM(BU3:BX3)</f>
        <v>7932</v>
      </c>
      <c r="S3" s="29">
        <f t="shared" ref="S3:S23" si="3">SUM(BY3:CB3)</f>
        <v>9266</v>
      </c>
      <c r="T3" s="29">
        <f t="shared" ref="T3:T23" si="4">SUM(CC3:CF3)</f>
        <v>10659</v>
      </c>
      <c r="U3" s="29">
        <f t="shared" ref="U3:U23" si="5">SUM(CG3:CJ3)</f>
        <v>12543</v>
      </c>
      <c r="V3" s="29">
        <f t="shared" ref="V3:V23" si="6">SUM(CK3:CN3)</f>
        <v>14012</v>
      </c>
      <c r="W3" s="29">
        <f t="shared" ref="W3:W23" si="7">SUM(CO3:CR3)</f>
        <v>16078</v>
      </c>
      <c r="X3" s="29">
        <f>SUM(CS3:CV3)</f>
        <v>18427</v>
      </c>
      <c r="Y3" s="29">
        <f>SUM(CW3:CZ3)</f>
        <v>19936</v>
      </c>
      <c r="Z3" s="29"/>
      <c r="AA3" s="29"/>
      <c r="AB3" s="29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>
        <v>30</v>
      </c>
      <c r="AP3" s="27">
        <v>60</v>
      </c>
      <c r="AQ3" s="27">
        <v>80</v>
      </c>
      <c r="AR3" s="29">
        <v>110</v>
      </c>
      <c r="AS3" s="29">
        <v>149</v>
      </c>
      <c r="AT3" s="29">
        <v>203</v>
      </c>
      <c r="AU3" s="29">
        <v>227</v>
      </c>
      <c r="AV3" s="29">
        <v>273</v>
      </c>
      <c r="AW3" s="29">
        <v>282</v>
      </c>
      <c r="AX3" s="27">
        <v>321</v>
      </c>
      <c r="AY3" s="27">
        <v>356</v>
      </c>
      <c r="AZ3" s="27">
        <v>441</v>
      </c>
      <c r="BA3" s="27">
        <v>392</v>
      </c>
      <c r="BB3" s="27">
        <v>491</v>
      </c>
      <c r="BC3" s="27">
        <v>541</v>
      </c>
      <c r="BD3" s="27">
        <v>620</v>
      </c>
      <c r="BE3" s="27">
        <v>571</v>
      </c>
      <c r="BF3" s="27">
        <v>735</v>
      </c>
      <c r="BG3" s="27">
        <v>803</v>
      </c>
      <c r="BH3" s="27">
        <v>954</v>
      </c>
      <c r="BI3" s="27">
        <v>878</v>
      </c>
      <c r="BJ3" s="27">
        <v>1089</v>
      </c>
      <c r="BK3" s="27">
        <v>1204</v>
      </c>
      <c r="BL3" s="27">
        <v>1351</v>
      </c>
      <c r="BM3" s="27">
        <v>1024</v>
      </c>
      <c r="BN3" s="27">
        <v>1311</v>
      </c>
      <c r="BO3" s="27">
        <v>1491</v>
      </c>
      <c r="BP3" s="27">
        <v>1662</v>
      </c>
      <c r="BQ3" s="27">
        <v>1397</v>
      </c>
      <c r="BR3">
        <v>1593</v>
      </c>
      <c r="BS3">
        <v>1679</v>
      </c>
      <c r="BT3">
        <v>1879</v>
      </c>
      <c r="BU3">
        <v>1646</v>
      </c>
      <c r="BV3">
        <v>1997</v>
      </c>
      <c r="BW3">
        <v>2111</v>
      </c>
      <c r="BX3">
        <v>2178</v>
      </c>
      <c r="BY3">
        <v>1934</v>
      </c>
      <c r="BZ3">
        <v>2326</v>
      </c>
      <c r="CA3">
        <v>2325</v>
      </c>
      <c r="CB3">
        <v>2681</v>
      </c>
      <c r="CC3">
        <v>2244</v>
      </c>
      <c r="CD3">
        <v>2606</v>
      </c>
      <c r="CE3">
        <v>2770</v>
      </c>
      <c r="CF3">
        <v>3039</v>
      </c>
      <c r="CG3">
        <v>2637</v>
      </c>
      <c r="CH3">
        <v>3288</v>
      </c>
      <c r="CI3">
        <v>3255</v>
      </c>
      <c r="CJ3">
        <v>3363</v>
      </c>
      <c r="CK3">
        <v>3111</v>
      </c>
      <c r="CL3">
        <v>3537</v>
      </c>
      <c r="CM3">
        <v>3647</v>
      </c>
      <c r="CN3">
        <v>3717</v>
      </c>
      <c r="CO3">
        <v>3577</v>
      </c>
      <c r="CP3">
        <v>4149</v>
      </c>
      <c r="CQ3">
        <v>4060</v>
      </c>
      <c r="CR3">
        <v>4292</v>
      </c>
      <c r="CS3">
        <v>4118</v>
      </c>
      <c r="CT3">
        <v>4716</v>
      </c>
      <c r="CU3">
        <v>4701</v>
      </c>
      <c r="CV3">
        <v>4892</v>
      </c>
      <c r="CW3">
        <v>4709</v>
      </c>
      <c r="CX3">
        <v>5185</v>
      </c>
      <c r="CY3">
        <v>5124</v>
      </c>
      <c r="CZ3">
        <v>4918</v>
      </c>
      <c r="DA3">
        <v>4446</v>
      </c>
      <c r="DB3">
        <v>4870</v>
      </c>
      <c r="DC3">
        <v>4936</v>
      </c>
      <c r="DD3">
        <v>4917</v>
      </c>
      <c r="DE3">
        <v>4703</v>
      </c>
      <c r="DF3">
        <v>4837</v>
      </c>
      <c r="DG3">
        <v>5140</v>
      </c>
      <c r="DH3">
        <v>5152</v>
      </c>
      <c r="DI3">
        <v>4867</v>
      </c>
      <c r="DJ3">
        <v>5068</v>
      </c>
      <c r="DK3">
        <v>5425</v>
      </c>
      <c r="DL3">
        <v>5334</v>
      </c>
      <c r="DM3">
        <v>4736</v>
      </c>
      <c r="DN3">
        <v>5363</v>
      </c>
      <c r="DO3">
        <v>5559</v>
      </c>
      <c r="DP3">
        <v>5579</v>
      </c>
      <c r="DQ3">
        <v>3541</v>
      </c>
      <c r="DR3">
        <v>4012</v>
      </c>
      <c r="DS3">
        <v>3547</v>
      </c>
      <c r="DT3">
        <v>3304</v>
      </c>
      <c r="DU3">
        <v>2270</v>
      </c>
      <c r="DV3">
        <v>2814</v>
      </c>
    </row>
    <row r="4" spans="1:164" x14ac:dyDescent="0.25">
      <c r="A4" s="27">
        <v>2</v>
      </c>
      <c r="B4" t="s">
        <v>1394</v>
      </c>
      <c r="C4" t="s">
        <v>22</v>
      </c>
      <c r="D4" t="s">
        <v>1377</v>
      </c>
      <c r="F4" t="s">
        <v>1395</v>
      </c>
      <c r="G4" t="s">
        <v>2009</v>
      </c>
      <c r="H4" s="30">
        <f>SUM(AO4:GL4)</f>
        <v>146735</v>
      </c>
      <c r="I4" s="30"/>
      <c r="J4" s="29">
        <f>SUM(AO4:AR4)</f>
        <v>865</v>
      </c>
      <c r="K4" s="29">
        <f>SUM(AS4:AV4)</f>
        <v>2208</v>
      </c>
      <c r="L4" s="29">
        <f>SUM(AW4:AZ4)</f>
        <v>3796</v>
      </c>
      <c r="M4" s="29">
        <f>SUM(BA4:BD4)</f>
        <v>5031</v>
      </c>
      <c r="N4" s="29">
        <f>SUM(BE4:BH4)</f>
        <v>6449</v>
      </c>
      <c r="O4" s="29">
        <f>SUM(BI4:BL4)</f>
        <v>7972</v>
      </c>
      <c r="P4" s="29">
        <f>SUM(BM4:BP4)</f>
        <v>9230</v>
      </c>
      <c r="Q4" s="29">
        <f>SUM(BQ4:BT4)</f>
        <v>10862</v>
      </c>
      <c r="R4" s="29">
        <f>SUM(BU4:BX4)</f>
        <v>12187</v>
      </c>
      <c r="S4" s="29">
        <f>SUM(BY4:CB4)</f>
        <v>12886</v>
      </c>
      <c r="T4" s="29">
        <f>SUM(CC4:CF4)</f>
        <v>12675</v>
      </c>
      <c r="U4" s="29">
        <f>SUM(CG4:CJ4)</f>
        <v>12401</v>
      </c>
      <c r="V4" s="29">
        <f>SUM(CK4:CN4)</f>
        <v>11434</v>
      </c>
      <c r="W4" s="29">
        <f>SUM(CO4:CR4)</f>
        <v>10733</v>
      </c>
      <c r="X4" s="29">
        <f>SUM(CS4:CV4)</f>
        <v>9577</v>
      </c>
      <c r="Y4" s="29">
        <f>SUM(CW4:CZ4)</f>
        <v>3948</v>
      </c>
      <c r="Z4" s="29"/>
      <c r="AA4" s="29"/>
      <c r="AB4" s="29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>
        <v>49</v>
      </c>
      <c r="AP4" s="27">
        <v>151</v>
      </c>
      <c r="AQ4" s="27">
        <v>257</v>
      </c>
      <c r="AR4" s="27">
        <v>408</v>
      </c>
      <c r="AS4" s="27">
        <v>375</v>
      </c>
      <c r="AT4" s="27">
        <v>536</v>
      </c>
      <c r="AU4" s="27">
        <v>578</v>
      </c>
      <c r="AV4" s="27">
        <v>719</v>
      </c>
      <c r="AW4" s="27">
        <v>767</v>
      </c>
      <c r="AX4" s="27">
        <v>900</v>
      </c>
      <c r="AY4" s="27">
        <v>995</v>
      </c>
      <c r="AZ4" s="27">
        <v>1134</v>
      </c>
      <c r="BA4" s="27">
        <v>1119</v>
      </c>
      <c r="BB4" s="27">
        <v>1262</v>
      </c>
      <c r="BC4" s="27">
        <v>1216</v>
      </c>
      <c r="BD4" s="27">
        <v>1434</v>
      </c>
      <c r="BE4" s="27">
        <v>1467</v>
      </c>
      <c r="BF4" s="27">
        <v>1439</v>
      </c>
      <c r="BG4" s="27">
        <v>1660</v>
      </c>
      <c r="BH4" s="27">
        <v>1883</v>
      </c>
      <c r="BI4" s="27">
        <v>1852</v>
      </c>
      <c r="BJ4" s="27">
        <v>1783</v>
      </c>
      <c r="BK4" s="27">
        <v>2020</v>
      </c>
      <c r="BL4" s="27">
        <v>2317</v>
      </c>
      <c r="BM4" s="27">
        <v>2099</v>
      </c>
      <c r="BN4" s="27">
        <v>2015</v>
      </c>
      <c r="BO4" s="27">
        <v>2468</v>
      </c>
      <c r="BP4" s="27">
        <v>2648</v>
      </c>
      <c r="BQ4" s="27">
        <v>2497</v>
      </c>
      <c r="BR4">
        <v>2363</v>
      </c>
      <c r="BS4">
        <v>2738</v>
      </c>
      <c r="BT4">
        <v>3264</v>
      </c>
      <c r="BU4">
        <v>3075</v>
      </c>
      <c r="BV4">
        <v>2858</v>
      </c>
      <c r="BW4">
        <v>2897</v>
      </c>
      <c r="BX4">
        <v>3357</v>
      </c>
      <c r="BY4">
        <v>3107</v>
      </c>
      <c r="BZ4">
        <v>3123</v>
      </c>
      <c r="CA4">
        <v>3321</v>
      </c>
      <c r="CB4">
        <v>3335</v>
      </c>
      <c r="CC4">
        <v>3358</v>
      </c>
      <c r="CD4">
        <v>2719</v>
      </c>
      <c r="CE4">
        <v>3170</v>
      </c>
      <c r="CF4">
        <v>3428</v>
      </c>
      <c r="CG4">
        <v>3137</v>
      </c>
      <c r="CH4">
        <v>2976</v>
      </c>
      <c r="CI4">
        <v>3142</v>
      </c>
      <c r="CJ4">
        <v>3146</v>
      </c>
      <c r="CK4">
        <v>2721</v>
      </c>
      <c r="CL4">
        <v>2685</v>
      </c>
      <c r="CM4">
        <v>2853</v>
      </c>
      <c r="CN4">
        <v>3175</v>
      </c>
      <c r="CO4">
        <v>2757</v>
      </c>
      <c r="CP4">
        <v>2813</v>
      </c>
      <c r="CQ4">
        <v>2534</v>
      </c>
      <c r="CR4">
        <v>2629</v>
      </c>
      <c r="CS4">
        <v>2385</v>
      </c>
      <c r="CT4">
        <v>2591</v>
      </c>
      <c r="CU4">
        <v>2602</v>
      </c>
      <c r="CV4">
        <v>1999</v>
      </c>
      <c r="CW4">
        <v>1395</v>
      </c>
      <c r="CX4">
        <v>1220</v>
      </c>
      <c r="CY4">
        <v>749</v>
      </c>
      <c r="CZ4">
        <v>584</v>
      </c>
      <c r="DA4">
        <v>626</v>
      </c>
      <c r="DB4">
        <v>545</v>
      </c>
      <c r="DC4">
        <v>533</v>
      </c>
      <c r="DD4">
        <v>611</v>
      </c>
      <c r="DE4">
        <v>457</v>
      </c>
      <c r="DF4">
        <v>543</v>
      </c>
      <c r="DG4">
        <v>490</v>
      </c>
      <c r="DH4">
        <v>572</v>
      </c>
      <c r="DI4">
        <v>441</v>
      </c>
      <c r="DJ4">
        <v>509</v>
      </c>
      <c r="DK4">
        <v>454</v>
      </c>
      <c r="DL4">
        <v>456</v>
      </c>
      <c r="DM4">
        <v>411</v>
      </c>
      <c r="DN4">
        <v>461</v>
      </c>
      <c r="DO4">
        <v>422</v>
      </c>
      <c r="DP4">
        <v>464</v>
      </c>
      <c r="DQ4">
        <v>404</v>
      </c>
      <c r="DR4">
        <v>445</v>
      </c>
      <c r="DS4">
        <v>491</v>
      </c>
      <c r="DT4">
        <v>574</v>
      </c>
      <c r="DU4">
        <v>511</v>
      </c>
      <c r="DV4">
        <v>521</v>
      </c>
      <c r="DW4">
        <v>507</v>
      </c>
      <c r="DX4">
        <v>524</v>
      </c>
      <c r="DY4">
        <v>622</v>
      </c>
      <c r="DZ4">
        <v>107</v>
      </c>
      <c r="EA4">
        <v>476</v>
      </c>
      <c r="EB4">
        <v>468</v>
      </c>
      <c r="EC4">
        <v>405</v>
      </c>
      <c r="ED4">
        <v>431</v>
      </c>
    </row>
    <row r="5" spans="1:164" s="24" customFormat="1" ht="13" x14ac:dyDescent="0.3">
      <c r="A5" s="27">
        <v>3</v>
      </c>
      <c r="B5" t="s">
        <v>650</v>
      </c>
      <c r="C5" t="s">
        <v>26</v>
      </c>
      <c r="D5" t="s">
        <v>1376</v>
      </c>
      <c r="E5">
        <v>2</v>
      </c>
      <c r="F5" t="s">
        <v>1775</v>
      </c>
      <c r="G5" t="s">
        <v>2010</v>
      </c>
      <c r="H5" s="30">
        <f>SUM(AO5:GL5)</f>
        <v>123247</v>
      </c>
      <c r="I5" s="30"/>
      <c r="J5" s="29">
        <f>SUM(AO5:AR5)</f>
        <v>247</v>
      </c>
      <c r="K5" s="29">
        <f>SUM(AS5:AV5)</f>
        <v>936</v>
      </c>
      <c r="L5" s="29">
        <f>SUM(AW5:AZ5)</f>
        <v>2304</v>
      </c>
      <c r="M5" s="29">
        <f>SUM(BA5:BD5)</f>
        <v>5475</v>
      </c>
      <c r="N5" s="29">
        <f>SUM(BE5:BH5)</f>
        <v>8943</v>
      </c>
      <c r="O5" s="29">
        <f>SUM(BI5:BL5)</f>
        <v>12853</v>
      </c>
      <c r="P5" s="29">
        <f>SUM(BM5:BP5)</f>
        <v>15783</v>
      </c>
      <c r="Q5" s="29">
        <f>SUM(BQ5:BT5)</f>
        <v>19172</v>
      </c>
      <c r="R5" s="29">
        <f>SUM(BU5:BX5)</f>
        <v>22942</v>
      </c>
      <c r="S5" s="26">
        <f>SUM(BY5:CB5)</f>
        <v>27163</v>
      </c>
      <c r="T5" s="29">
        <f>SUM(CC5:CF5)</f>
        <v>7429</v>
      </c>
      <c r="U5" s="29">
        <f>SUM(CG5:CJ5)</f>
        <v>0</v>
      </c>
      <c r="V5" s="29">
        <f>SUM(CK5:CN5)</f>
        <v>0</v>
      </c>
      <c r="W5" s="29">
        <f>SUM(CO5:CR5)</f>
        <v>0</v>
      </c>
      <c r="X5" s="29"/>
      <c r="Y5" s="29"/>
      <c r="Z5" s="29"/>
      <c r="AA5" s="29"/>
      <c r="AB5" s="29"/>
      <c r="AO5" s="29">
        <v>4</v>
      </c>
      <c r="AP5" s="29">
        <v>50</v>
      </c>
      <c r="AQ5" s="29">
        <v>83</v>
      </c>
      <c r="AR5">
        <v>110</v>
      </c>
      <c r="AS5">
        <v>159</v>
      </c>
      <c r="AT5" s="30">
        <v>214</v>
      </c>
      <c r="AU5" s="30">
        <v>249</v>
      </c>
      <c r="AV5" s="30">
        <v>314</v>
      </c>
      <c r="AW5" s="30">
        <v>356</v>
      </c>
      <c r="AX5" s="30">
        <v>483</v>
      </c>
      <c r="AY5">
        <v>584</v>
      </c>
      <c r="AZ5">
        <v>881</v>
      </c>
      <c r="BA5" s="30">
        <v>1047</v>
      </c>
      <c r="BB5" s="30">
        <v>1297</v>
      </c>
      <c r="BC5" s="30">
        <v>1464</v>
      </c>
      <c r="BD5" s="30">
        <v>1667</v>
      </c>
      <c r="BE5" s="30">
        <v>1889</v>
      </c>
      <c r="BF5" s="30">
        <v>2151</v>
      </c>
      <c r="BG5" s="30">
        <v>2269</v>
      </c>
      <c r="BH5" s="30">
        <v>2634</v>
      </c>
      <c r="BI5" s="30">
        <v>3070</v>
      </c>
      <c r="BJ5" s="30">
        <v>3111</v>
      </c>
      <c r="BK5" s="30">
        <v>3284</v>
      </c>
      <c r="BL5" s="30">
        <v>3388</v>
      </c>
      <c r="BM5" s="30">
        <v>3715</v>
      </c>
      <c r="BN5" s="30">
        <v>3993</v>
      </c>
      <c r="BO5" s="30">
        <v>3899</v>
      </c>
      <c r="BP5" s="30">
        <v>4176</v>
      </c>
      <c r="BQ5" s="30">
        <v>4534</v>
      </c>
      <c r="BR5" s="30">
        <v>4577</v>
      </c>
      <c r="BS5" s="30">
        <v>4809</v>
      </c>
      <c r="BT5" s="30">
        <v>5252</v>
      </c>
      <c r="BU5" s="30">
        <v>5426</v>
      </c>
      <c r="BV5" s="30">
        <v>5450</v>
      </c>
      <c r="BW5" s="30">
        <v>5795</v>
      </c>
      <c r="BX5" s="30">
        <v>6271</v>
      </c>
      <c r="BY5" s="30">
        <v>6338</v>
      </c>
      <c r="BZ5" s="30">
        <v>6608</v>
      </c>
      <c r="CA5" s="30">
        <v>6947</v>
      </c>
      <c r="CB5" s="30">
        <v>7270</v>
      </c>
      <c r="CC5" s="30">
        <v>7429</v>
      </c>
    </row>
    <row r="6" spans="1:164" x14ac:dyDescent="0.25">
      <c r="A6" s="27">
        <v>4</v>
      </c>
      <c r="B6" t="s">
        <v>1385</v>
      </c>
      <c r="C6" t="s">
        <v>1386</v>
      </c>
      <c r="D6" t="s">
        <v>1377</v>
      </c>
      <c r="E6">
        <v>2</v>
      </c>
      <c r="F6" t="s">
        <v>1387</v>
      </c>
      <c r="G6" t="s">
        <v>2011</v>
      </c>
      <c r="H6" s="29">
        <f>+H82+H83</f>
        <v>118779</v>
      </c>
      <c r="I6" s="29"/>
      <c r="J6" s="29">
        <f t="shared" ref="J6:W6" si="8">+J82+J83</f>
        <v>412</v>
      </c>
      <c r="K6" s="29">
        <f t="shared" si="8"/>
        <v>1562</v>
      </c>
      <c r="L6" s="29">
        <f t="shared" si="8"/>
        <v>3260</v>
      </c>
      <c r="M6" s="29">
        <f t="shared" si="8"/>
        <v>5005</v>
      </c>
      <c r="N6" s="29">
        <f t="shared" si="8"/>
        <v>7395</v>
      </c>
      <c r="O6" s="29">
        <f t="shared" si="8"/>
        <v>9872</v>
      </c>
      <c r="P6" s="29">
        <f t="shared" si="8"/>
        <v>12149</v>
      </c>
      <c r="Q6" s="29">
        <f t="shared" si="8"/>
        <v>13881</v>
      </c>
      <c r="R6" s="29">
        <f t="shared" si="8"/>
        <v>16330</v>
      </c>
      <c r="S6" s="29">
        <f t="shared" si="8"/>
        <v>18253</v>
      </c>
      <c r="T6" s="29">
        <f t="shared" si="8"/>
        <v>18766</v>
      </c>
      <c r="U6" s="29">
        <f t="shared" si="8"/>
        <v>13927</v>
      </c>
      <c r="V6" s="29">
        <f t="shared" si="8"/>
        <v>0</v>
      </c>
      <c r="W6" s="29">
        <f t="shared" si="8"/>
        <v>0</v>
      </c>
      <c r="X6" s="29"/>
      <c r="Y6" s="29"/>
      <c r="Z6" s="29"/>
      <c r="AA6" s="29"/>
      <c r="AB6" s="29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</row>
    <row r="7" spans="1:164" x14ac:dyDescent="0.25">
      <c r="A7">
        <v>5</v>
      </c>
      <c r="B7" t="s">
        <v>1417</v>
      </c>
      <c r="C7" t="s">
        <v>14</v>
      </c>
      <c r="D7" t="s">
        <v>1378</v>
      </c>
      <c r="E7">
        <v>1</v>
      </c>
      <c r="G7" t="s">
        <v>1468</v>
      </c>
      <c r="H7" s="30">
        <f t="shared" si="0"/>
        <v>92404</v>
      </c>
      <c r="I7" s="30"/>
      <c r="J7" s="29">
        <f>SUM(AO7:AR7)</f>
        <v>115</v>
      </c>
      <c r="K7" s="29">
        <f>SUM(AS7:AV7)</f>
        <v>370</v>
      </c>
      <c r="L7" s="29">
        <f>SUM(AW7:AZ7)</f>
        <v>721</v>
      </c>
      <c r="M7" s="29">
        <f>SUM(BA7:BD7)</f>
        <v>1297</v>
      </c>
      <c r="N7" s="29">
        <f>SUM(BE7:BH7)</f>
        <v>1730</v>
      </c>
      <c r="O7" s="29">
        <f>SUM(BI7:BL7)</f>
        <v>2146</v>
      </c>
      <c r="P7" s="29">
        <f>SUM(BM7:BP7)</f>
        <v>2535</v>
      </c>
      <c r="Q7" s="29">
        <f t="shared" si="1"/>
        <v>3014</v>
      </c>
      <c r="R7" s="29">
        <f t="shared" si="2"/>
        <v>3327</v>
      </c>
      <c r="S7" s="29">
        <f t="shared" si="3"/>
        <v>3748</v>
      </c>
      <c r="T7" s="29">
        <f t="shared" si="4"/>
        <v>4304</v>
      </c>
      <c r="U7" s="29">
        <f t="shared" si="5"/>
        <v>4610</v>
      </c>
      <c r="V7" s="29">
        <f t="shared" si="6"/>
        <v>5492</v>
      </c>
      <c r="W7" s="29">
        <f t="shared" si="7"/>
        <v>6139</v>
      </c>
      <c r="X7" s="29"/>
      <c r="Y7" s="29"/>
      <c r="Z7" s="29"/>
      <c r="AA7" s="29"/>
      <c r="AB7" s="29"/>
      <c r="AO7" s="27">
        <v>21</v>
      </c>
      <c r="AP7" s="27">
        <v>26</v>
      </c>
      <c r="AQ7" s="27">
        <v>27</v>
      </c>
      <c r="AR7" s="30">
        <v>41</v>
      </c>
      <c r="AS7" s="30">
        <v>49</v>
      </c>
      <c r="AT7" s="30">
        <v>91.2</v>
      </c>
      <c r="AU7" s="30">
        <v>90.8</v>
      </c>
      <c r="AV7" s="30">
        <v>139</v>
      </c>
      <c r="AW7" s="30">
        <v>131</v>
      </c>
      <c r="AX7" s="30">
        <v>171</v>
      </c>
      <c r="AY7">
        <v>209</v>
      </c>
      <c r="AZ7">
        <v>210</v>
      </c>
      <c r="BA7">
        <v>245</v>
      </c>
      <c r="BB7">
        <v>332</v>
      </c>
      <c r="BC7">
        <v>341</v>
      </c>
      <c r="BD7">
        <v>379</v>
      </c>
      <c r="BE7">
        <v>409</v>
      </c>
      <c r="BF7">
        <v>421</v>
      </c>
      <c r="BG7">
        <v>444</v>
      </c>
      <c r="BH7">
        <v>456</v>
      </c>
      <c r="BI7">
        <v>464</v>
      </c>
      <c r="BJ7">
        <v>539</v>
      </c>
      <c r="BK7">
        <v>545</v>
      </c>
      <c r="BL7">
        <v>598</v>
      </c>
      <c r="BM7">
        <v>577</v>
      </c>
      <c r="BN7">
        <v>642</v>
      </c>
      <c r="BO7">
        <v>624</v>
      </c>
      <c r="BP7">
        <v>692</v>
      </c>
      <c r="BQ7">
        <v>681</v>
      </c>
      <c r="BR7">
        <v>777</v>
      </c>
      <c r="BS7">
        <v>776</v>
      </c>
      <c r="BT7">
        <v>780</v>
      </c>
      <c r="BU7">
        <v>731</v>
      </c>
      <c r="BV7">
        <v>869</v>
      </c>
      <c r="BW7">
        <v>819</v>
      </c>
      <c r="BX7">
        <v>908</v>
      </c>
      <c r="BY7">
        <v>998</v>
      </c>
      <c r="BZ7">
        <v>886</v>
      </c>
      <c r="CA7">
        <v>978</v>
      </c>
      <c r="CB7">
        <v>886</v>
      </c>
      <c r="CC7">
        <v>1028</v>
      </c>
      <c r="CD7">
        <v>1102</v>
      </c>
      <c r="CE7">
        <v>1036</v>
      </c>
      <c r="CF7">
        <v>1138</v>
      </c>
      <c r="CG7">
        <v>1186</v>
      </c>
      <c r="CH7">
        <v>1130</v>
      </c>
      <c r="CI7">
        <v>1229</v>
      </c>
      <c r="CJ7">
        <v>1065</v>
      </c>
      <c r="CK7">
        <v>1285</v>
      </c>
      <c r="CL7">
        <v>1371</v>
      </c>
      <c r="CM7">
        <v>1408</v>
      </c>
      <c r="CN7">
        <v>1428</v>
      </c>
      <c r="CO7">
        <v>1521</v>
      </c>
      <c r="CP7">
        <v>1523</v>
      </c>
      <c r="CQ7">
        <v>1591</v>
      </c>
      <c r="CR7">
        <v>1504</v>
      </c>
      <c r="CS7">
        <v>1600</v>
      </c>
      <c r="CT7">
        <v>1672</v>
      </c>
      <c r="CU7">
        <v>1689</v>
      </c>
      <c r="CV7">
        <v>1712</v>
      </c>
      <c r="CW7">
        <v>1610</v>
      </c>
      <c r="CX7">
        <v>1804</v>
      </c>
      <c r="CY7">
        <v>1782</v>
      </c>
      <c r="CZ7">
        <v>1672</v>
      </c>
      <c r="DA7">
        <v>1600</v>
      </c>
      <c r="DB7">
        <v>1668</v>
      </c>
      <c r="DC7">
        <v>1613</v>
      </c>
      <c r="DD7">
        <v>1680</v>
      </c>
      <c r="DE7">
        <v>1779</v>
      </c>
      <c r="DF7">
        <v>1780</v>
      </c>
      <c r="DG7">
        <v>1783</v>
      </c>
      <c r="DH7">
        <v>1624</v>
      </c>
      <c r="DI7">
        <v>1672</v>
      </c>
      <c r="DJ7">
        <v>1530</v>
      </c>
      <c r="DK7">
        <v>1647</v>
      </c>
      <c r="DL7">
        <v>1466</v>
      </c>
      <c r="DM7">
        <v>1389</v>
      </c>
      <c r="DN7">
        <v>1320</v>
      </c>
      <c r="DO7">
        <v>1379</v>
      </c>
      <c r="DP7">
        <v>1238</v>
      </c>
      <c r="DQ7">
        <v>1102</v>
      </c>
      <c r="DR7">
        <v>1107</v>
      </c>
      <c r="DS7">
        <v>1136</v>
      </c>
      <c r="DT7">
        <v>1035</v>
      </c>
      <c r="DU7">
        <v>990</v>
      </c>
      <c r="DV7">
        <v>935</v>
      </c>
      <c r="DW7">
        <v>921</v>
      </c>
      <c r="DX7">
        <v>901</v>
      </c>
      <c r="DY7">
        <v>777</v>
      </c>
      <c r="DZ7">
        <v>888</v>
      </c>
      <c r="EA7">
        <v>761</v>
      </c>
      <c r="EB7">
        <v>764</v>
      </c>
      <c r="EC7">
        <v>663</v>
      </c>
      <c r="ED7">
        <v>647</v>
      </c>
      <c r="EE7">
        <v>558</v>
      </c>
      <c r="EF7">
        <v>475</v>
      </c>
      <c r="EG7">
        <v>487</v>
      </c>
    </row>
    <row r="8" spans="1:164" x14ac:dyDescent="0.25">
      <c r="A8">
        <v>6</v>
      </c>
      <c r="B8" t="s">
        <v>1370</v>
      </c>
      <c r="C8" t="s">
        <v>22</v>
      </c>
      <c r="D8" t="s">
        <v>1426</v>
      </c>
      <c r="G8" t="s">
        <v>2012</v>
      </c>
      <c r="H8" s="30">
        <f t="shared" si="0"/>
        <v>86510</v>
      </c>
      <c r="I8" s="30"/>
      <c r="J8" s="29">
        <f>SUM(AO8:AR8)</f>
        <v>24431</v>
      </c>
      <c r="K8" s="29">
        <f>SUM(AS8:AV8)</f>
        <v>38981</v>
      </c>
      <c r="L8" s="29">
        <f>SUM(AW8:AZ8)</f>
        <v>17188</v>
      </c>
      <c r="M8" s="29">
        <f>SUM(BA8:BD8)</f>
        <v>5910</v>
      </c>
      <c r="N8" s="29">
        <f>SUM(BE8:BH8)</f>
        <v>0</v>
      </c>
      <c r="O8" s="29">
        <f>SUM(BI8:BL8)</f>
        <v>0</v>
      </c>
      <c r="P8" s="29">
        <f>SUM(BM8:BP8)</f>
        <v>0</v>
      </c>
      <c r="Q8" s="29">
        <f t="shared" si="1"/>
        <v>0</v>
      </c>
      <c r="R8" s="29">
        <f t="shared" si="2"/>
        <v>0</v>
      </c>
      <c r="S8" s="29">
        <f t="shared" si="3"/>
        <v>0</v>
      </c>
      <c r="T8" s="29">
        <f t="shared" si="4"/>
        <v>0</v>
      </c>
      <c r="U8" s="29">
        <f t="shared" si="5"/>
        <v>0</v>
      </c>
      <c r="V8" s="29">
        <f t="shared" si="6"/>
        <v>0</v>
      </c>
      <c r="W8" s="29">
        <f t="shared" si="7"/>
        <v>0</v>
      </c>
      <c r="X8" s="29"/>
      <c r="Y8" s="29"/>
      <c r="Z8" s="29"/>
      <c r="AA8" s="29"/>
      <c r="AB8" s="29"/>
      <c r="AO8" s="29">
        <v>154</v>
      </c>
      <c r="AP8" s="29">
        <v>3462</v>
      </c>
      <c r="AQ8" s="29">
        <v>7838</v>
      </c>
      <c r="AR8" s="30">
        <v>12977</v>
      </c>
      <c r="AS8" s="30">
        <v>12504</v>
      </c>
      <c r="AT8" s="30">
        <v>13227</v>
      </c>
      <c r="AU8" s="30">
        <v>8848</v>
      </c>
      <c r="AV8" s="30">
        <v>4402</v>
      </c>
      <c r="AW8" s="30">
        <v>11329</v>
      </c>
      <c r="AX8" s="30">
        <v>3064</v>
      </c>
      <c r="AY8">
        <v>1488</v>
      </c>
      <c r="AZ8">
        <v>1307</v>
      </c>
      <c r="BA8">
        <v>5361</v>
      </c>
      <c r="BB8">
        <v>354</v>
      </c>
      <c r="BC8">
        <v>195</v>
      </c>
    </row>
    <row r="9" spans="1:164" x14ac:dyDescent="0.25">
      <c r="A9">
        <v>7</v>
      </c>
      <c r="B9" t="s">
        <v>1425</v>
      </c>
      <c r="C9" t="s">
        <v>22</v>
      </c>
      <c r="D9" t="s">
        <v>1426</v>
      </c>
      <c r="H9" s="30">
        <f>SUM(J9:BR9)</f>
        <v>82695.364999999991</v>
      </c>
      <c r="I9" s="30"/>
      <c r="J9" s="29">
        <v>460.6</v>
      </c>
      <c r="K9" s="29">
        <v>798.2</v>
      </c>
      <c r="L9" s="29">
        <v>647.5</v>
      </c>
      <c r="M9" s="29">
        <v>945.6</v>
      </c>
      <c r="N9" s="29">
        <v>1053.5999999999999</v>
      </c>
      <c r="O9" s="29">
        <v>1508.3</v>
      </c>
      <c r="P9" s="29">
        <v>1961.3</v>
      </c>
      <c r="Q9" s="29" t="s">
        <v>1427</v>
      </c>
      <c r="R9" s="29" t="s">
        <v>1428</v>
      </c>
      <c r="S9" s="29">
        <v>1825.2649999999999</v>
      </c>
      <c r="T9" s="29">
        <v>3669</v>
      </c>
      <c r="U9" s="29">
        <v>4145</v>
      </c>
      <c r="V9" s="29">
        <v>4117</v>
      </c>
      <c r="W9" s="29">
        <v>3974</v>
      </c>
      <c r="X9" s="29">
        <v>4464</v>
      </c>
      <c r="Y9" s="29">
        <v>6247</v>
      </c>
      <c r="Z9" s="29">
        <v>5719</v>
      </c>
      <c r="AA9" s="29">
        <v>5601</v>
      </c>
      <c r="AB9" s="29">
        <v>5802</v>
      </c>
      <c r="AC9" s="30">
        <v>5847</v>
      </c>
      <c r="AD9" s="29">
        <v>5850</v>
      </c>
      <c r="AE9" s="29">
        <v>5274</v>
      </c>
      <c r="AF9" s="29">
        <v>6337</v>
      </c>
      <c r="AG9" s="30">
        <v>6449</v>
      </c>
      <c r="AH9" s="28"/>
      <c r="AI9" s="28"/>
      <c r="AO9" s="29"/>
      <c r="AP9" s="29"/>
      <c r="AQ9" s="29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</row>
    <row r="10" spans="1:164" x14ac:dyDescent="0.25">
      <c r="A10">
        <f>+A9+1</f>
        <v>8</v>
      </c>
      <c r="B10" t="s">
        <v>654</v>
      </c>
      <c r="C10" t="s">
        <v>26</v>
      </c>
      <c r="D10" t="s">
        <v>1380</v>
      </c>
      <c r="E10">
        <v>1</v>
      </c>
      <c r="G10" t="s">
        <v>2016</v>
      </c>
      <c r="H10" s="30">
        <f>SUM(AO10:GL10)</f>
        <v>74776.5</v>
      </c>
      <c r="I10" s="30"/>
      <c r="J10" s="29">
        <f>SUM(AO10:AR10)</f>
        <v>589</v>
      </c>
      <c r="K10" s="29">
        <f>SUM(AS10:AV10)</f>
        <v>1600.5</v>
      </c>
      <c r="L10" s="29">
        <f>SUM(AW10:AZ10)</f>
        <v>2095</v>
      </c>
      <c r="M10" s="29">
        <f>SUM(BA10:BD10)</f>
        <v>3327</v>
      </c>
      <c r="N10" s="29">
        <f>SUM(BE10:BH10)</f>
        <v>4488</v>
      </c>
      <c r="O10" s="29">
        <f>SUM(BI10:BL10)</f>
        <v>5589</v>
      </c>
      <c r="P10" s="29">
        <f>SUM(BM10:BP10)</f>
        <v>5912</v>
      </c>
      <c r="Q10" s="29">
        <f>SUM(BQ10:BT10)</f>
        <v>6073</v>
      </c>
      <c r="R10" s="29">
        <f>SUM(BU10:BX10)</f>
        <v>6172</v>
      </c>
      <c r="S10" s="29">
        <f>SUM(BY10:CB10)</f>
        <v>6087</v>
      </c>
      <c r="T10" s="29">
        <f>SUM(CC10:CF10)</f>
        <v>5937</v>
      </c>
      <c r="U10" s="29">
        <f>SUM(CG10:CJ10)</f>
        <v>5907</v>
      </c>
      <c r="V10" s="29">
        <f>SUM(CK10:CN10)</f>
        <v>5483</v>
      </c>
      <c r="W10" s="29">
        <f>SUM(CO10:CR10)</f>
        <v>5346</v>
      </c>
      <c r="X10" s="29"/>
      <c r="Y10" s="29"/>
      <c r="Z10" s="29"/>
      <c r="AA10" s="29"/>
      <c r="AB10" s="29"/>
      <c r="AO10" s="29">
        <f t="shared" ref="AO10:BT10" si="9">AO84+AO85</f>
        <v>66</v>
      </c>
      <c r="AP10" s="29">
        <f t="shared" si="9"/>
        <v>106</v>
      </c>
      <c r="AQ10" s="29">
        <f t="shared" si="9"/>
        <v>174</v>
      </c>
      <c r="AR10" s="29">
        <f t="shared" si="9"/>
        <v>243</v>
      </c>
      <c r="AS10" s="29">
        <f t="shared" si="9"/>
        <v>272</v>
      </c>
      <c r="AT10" s="29">
        <f t="shared" si="9"/>
        <v>373</v>
      </c>
      <c r="AU10" s="29">
        <f t="shared" si="9"/>
        <v>448.5</v>
      </c>
      <c r="AV10" s="29">
        <f t="shared" si="9"/>
        <v>507</v>
      </c>
      <c r="AW10" s="29">
        <f t="shared" si="9"/>
        <v>155</v>
      </c>
      <c r="AX10" s="29">
        <f t="shared" si="9"/>
        <v>584</v>
      </c>
      <c r="AY10" s="29">
        <f t="shared" si="9"/>
        <v>664</v>
      </c>
      <c r="AZ10" s="29">
        <f t="shared" si="9"/>
        <v>692</v>
      </c>
      <c r="BA10" s="29">
        <f t="shared" si="9"/>
        <v>776</v>
      </c>
      <c r="BB10" s="29">
        <f t="shared" si="9"/>
        <v>758</v>
      </c>
      <c r="BC10" s="29">
        <f t="shared" si="9"/>
        <v>888</v>
      </c>
      <c r="BD10" s="29">
        <f t="shared" si="9"/>
        <v>905</v>
      </c>
      <c r="BE10" s="29">
        <f t="shared" si="9"/>
        <v>996</v>
      </c>
      <c r="BF10" s="29">
        <f t="shared" si="9"/>
        <v>1089</v>
      </c>
      <c r="BG10" s="29">
        <f t="shared" si="9"/>
        <v>1165</v>
      </c>
      <c r="BH10" s="29">
        <f t="shared" si="9"/>
        <v>1238</v>
      </c>
      <c r="BI10" s="29">
        <f t="shared" si="9"/>
        <v>1371</v>
      </c>
      <c r="BJ10" s="29">
        <f t="shared" si="9"/>
        <v>1324</v>
      </c>
      <c r="BK10" s="29">
        <f t="shared" si="9"/>
        <v>1510</v>
      </c>
      <c r="BL10" s="29">
        <f t="shared" si="9"/>
        <v>1384</v>
      </c>
      <c r="BM10" s="29">
        <f t="shared" si="9"/>
        <v>1608</v>
      </c>
      <c r="BN10" s="29">
        <f t="shared" si="9"/>
        <v>1326</v>
      </c>
      <c r="BO10" s="29">
        <f t="shared" si="9"/>
        <v>1575</v>
      </c>
      <c r="BP10" s="29">
        <f t="shared" si="9"/>
        <v>1403</v>
      </c>
      <c r="BQ10" s="29">
        <f t="shared" si="9"/>
        <v>1640</v>
      </c>
      <c r="BR10" s="29">
        <f t="shared" si="9"/>
        <v>1363</v>
      </c>
      <c r="BS10" s="29">
        <f t="shared" si="9"/>
        <v>1628</v>
      </c>
      <c r="BT10" s="29">
        <f t="shared" si="9"/>
        <v>1442</v>
      </c>
      <c r="BU10" s="29">
        <f t="shared" ref="BU10:DD10" si="10">BU84+BU85</f>
        <v>1636</v>
      </c>
      <c r="BV10" s="29">
        <f t="shared" si="10"/>
        <v>1446</v>
      </c>
      <c r="BW10" s="29">
        <f t="shared" si="10"/>
        <v>1570</v>
      </c>
      <c r="BX10" s="29">
        <f t="shared" si="10"/>
        <v>1520</v>
      </c>
      <c r="BY10" s="29">
        <f t="shared" si="10"/>
        <v>1490</v>
      </c>
      <c r="BZ10" s="29">
        <f t="shared" si="10"/>
        <v>1454</v>
      </c>
      <c r="CA10" s="29">
        <f t="shared" si="10"/>
        <v>1641</v>
      </c>
      <c r="CB10" s="29">
        <f t="shared" si="10"/>
        <v>1502</v>
      </c>
      <c r="CC10" s="29">
        <f t="shared" si="10"/>
        <v>1495</v>
      </c>
      <c r="CD10" s="29">
        <f t="shared" si="10"/>
        <v>1352</v>
      </c>
      <c r="CE10" s="29">
        <f t="shared" si="10"/>
        <v>1534</v>
      </c>
      <c r="CF10" s="29">
        <f t="shared" si="10"/>
        <v>1556</v>
      </c>
      <c r="CG10" s="29">
        <f t="shared" si="10"/>
        <v>1523</v>
      </c>
      <c r="CH10" s="29">
        <f t="shared" si="10"/>
        <v>1443</v>
      </c>
      <c r="CI10" s="29">
        <f t="shared" si="10"/>
        <v>1484</v>
      </c>
      <c r="CJ10" s="29">
        <f t="shared" si="10"/>
        <v>1457</v>
      </c>
      <c r="CK10" s="29">
        <f t="shared" si="10"/>
        <v>1463</v>
      </c>
      <c r="CL10" s="29">
        <f t="shared" si="10"/>
        <v>1327</v>
      </c>
      <c r="CM10" s="29">
        <f t="shared" si="10"/>
        <v>1383</v>
      </c>
      <c r="CN10" s="29">
        <f t="shared" si="10"/>
        <v>1310</v>
      </c>
      <c r="CO10" s="29">
        <f t="shared" si="10"/>
        <v>1433</v>
      </c>
      <c r="CP10" s="29">
        <f t="shared" si="10"/>
        <v>1280</v>
      </c>
      <c r="CQ10" s="29">
        <f t="shared" si="10"/>
        <v>1326</v>
      </c>
      <c r="CR10" s="29">
        <f t="shared" si="10"/>
        <v>1307</v>
      </c>
      <c r="CS10" s="29">
        <f t="shared" si="10"/>
        <v>1334</v>
      </c>
      <c r="CT10" s="29">
        <f t="shared" si="10"/>
        <v>1296</v>
      </c>
      <c r="CU10" s="29">
        <f t="shared" si="10"/>
        <v>1298</v>
      </c>
      <c r="CV10" s="29">
        <f t="shared" si="10"/>
        <v>1306</v>
      </c>
      <c r="CW10" s="29">
        <f t="shared" si="10"/>
        <v>1354</v>
      </c>
      <c r="CX10" s="29">
        <f t="shared" si="10"/>
        <v>1196</v>
      </c>
      <c r="CY10" s="29">
        <f t="shared" si="10"/>
        <v>1109</v>
      </c>
      <c r="CZ10" s="29">
        <f t="shared" si="10"/>
        <v>717</v>
      </c>
      <c r="DA10" s="29">
        <f t="shared" si="10"/>
        <v>561</v>
      </c>
      <c r="DB10" s="29">
        <f t="shared" si="10"/>
        <v>0</v>
      </c>
      <c r="DC10" s="29">
        <f t="shared" si="10"/>
        <v>0</v>
      </c>
      <c r="DD10" s="29">
        <f t="shared" si="10"/>
        <v>0</v>
      </c>
    </row>
    <row r="11" spans="1:164" x14ac:dyDescent="0.25">
      <c r="A11" s="27">
        <v>9</v>
      </c>
      <c r="B11" t="s">
        <v>2008</v>
      </c>
      <c r="C11" t="s">
        <v>19</v>
      </c>
      <c r="G11" t="s">
        <v>2013</v>
      </c>
      <c r="H11" s="30">
        <f>+H16+H38</f>
        <v>71616.799999999988</v>
      </c>
      <c r="I11" s="30"/>
      <c r="J11" s="29">
        <f>+J16+J38</f>
        <v>4244.8</v>
      </c>
      <c r="K11" s="29">
        <f>+K16+K38</f>
        <v>17590.599999999999</v>
      </c>
      <c r="L11" s="29">
        <f>+L16+L38</f>
        <v>21996.400000000001</v>
      </c>
      <c r="M11" s="29">
        <f>+M16+M38</f>
        <v>27785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</row>
    <row r="12" spans="1:164" s="24" customFormat="1" ht="13" x14ac:dyDescent="0.3">
      <c r="A12">
        <v>10</v>
      </c>
      <c r="B12" t="s">
        <v>1408</v>
      </c>
      <c r="C12" t="s">
        <v>19</v>
      </c>
      <c r="D12" t="s">
        <v>1382</v>
      </c>
      <c r="E12"/>
      <c r="F12"/>
      <c r="G12" t="s">
        <v>2017</v>
      </c>
      <c r="H12" s="30">
        <f>SUM(AO12:GL12)</f>
        <v>63245.199999999983</v>
      </c>
      <c r="I12" s="30"/>
      <c r="J12" s="29">
        <f>SUM(AO12:AR12)</f>
        <v>550.20000000000005</v>
      </c>
      <c r="K12" s="29">
        <f>SUM(AS12:AV12)</f>
        <v>1278</v>
      </c>
      <c r="L12" s="29">
        <f>SUM(AW12:AZ12)</f>
        <v>1726.1</v>
      </c>
      <c r="M12" s="29">
        <f>SUM(BA12:BD12)</f>
        <v>2246.6</v>
      </c>
      <c r="N12" s="29">
        <f>SUM(BE12:BH12)</f>
        <v>2882.3999999999996</v>
      </c>
      <c r="O12" s="29">
        <f>SUM(BI12:BL12)</f>
        <v>3604.1000000000004</v>
      </c>
      <c r="P12" s="29">
        <f>SUM(BM12:BP12)</f>
        <v>4128.1000000000004</v>
      </c>
      <c r="Q12" s="29">
        <f>SUM(BQ12:BT12)</f>
        <v>4479.8</v>
      </c>
      <c r="R12" s="29">
        <f>SUM(BU12:BX12)</f>
        <v>4255.6000000000004</v>
      </c>
      <c r="S12" s="29">
        <f>SUM(BY12:CB12)</f>
        <v>4239.3</v>
      </c>
      <c r="T12" s="29">
        <f>SUM(CC12:CF12)</f>
        <v>4643.6000000000004</v>
      </c>
      <c r="U12" s="29">
        <f>SUM(CG12:CJ12)</f>
        <v>4823.3</v>
      </c>
      <c r="V12" s="29">
        <f>SUM(CK12:CN12)</f>
        <v>4695.8999999999996</v>
      </c>
      <c r="W12" s="29">
        <f>SUM(CO12:CR12)</f>
        <v>5057.1000000000004</v>
      </c>
      <c r="X12" s="29"/>
      <c r="Y12" s="29"/>
      <c r="Z12" s="29"/>
      <c r="AA12" s="29"/>
      <c r="AB12" s="29"/>
      <c r="AC12"/>
      <c r="AD12"/>
      <c r="AE12"/>
      <c r="AF12"/>
      <c r="AG12"/>
      <c r="AH12"/>
      <c r="AI12"/>
      <c r="AJ12"/>
      <c r="AK12"/>
      <c r="AL12"/>
      <c r="AM12"/>
      <c r="AN12"/>
      <c r="AO12" s="29">
        <v>87</v>
      </c>
      <c r="AP12" s="29">
        <v>105.4</v>
      </c>
      <c r="AQ12" s="29">
        <v>156</v>
      </c>
      <c r="AR12" s="30">
        <v>201.8</v>
      </c>
      <c r="AS12">
        <v>267.00000000000011</v>
      </c>
      <c r="AT12">
        <v>287</v>
      </c>
      <c r="AU12">
        <v>328</v>
      </c>
      <c r="AV12">
        <v>396</v>
      </c>
      <c r="AW12">
        <v>429</v>
      </c>
      <c r="AX12">
        <v>401.2</v>
      </c>
      <c r="AY12">
        <v>393</v>
      </c>
      <c r="AZ12">
        <v>502.9</v>
      </c>
      <c r="BA12">
        <v>592.89999999999986</v>
      </c>
      <c r="BB12">
        <v>458.1</v>
      </c>
      <c r="BC12">
        <v>550.70000000000005</v>
      </c>
      <c r="BD12">
        <v>644.9</v>
      </c>
      <c r="BE12">
        <v>696.29999999999984</v>
      </c>
      <c r="BF12">
        <v>637</v>
      </c>
      <c r="BG12">
        <v>736.6</v>
      </c>
      <c r="BH12">
        <v>812.5</v>
      </c>
      <c r="BI12">
        <v>903.90000000000009</v>
      </c>
      <c r="BJ12">
        <v>819.4</v>
      </c>
      <c r="BK12">
        <v>906.8</v>
      </c>
      <c r="BL12">
        <v>974</v>
      </c>
      <c r="BM12">
        <v>989.80000000000007</v>
      </c>
      <c r="BN12">
        <v>958.3</v>
      </c>
      <c r="BO12">
        <v>1050</v>
      </c>
      <c r="BP12">
        <v>1130</v>
      </c>
      <c r="BQ12">
        <v>1145.5</v>
      </c>
      <c r="BR12" s="30">
        <v>1098.3</v>
      </c>
      <c r="BS12" s="30">
        <v>1212.3</v>
      </c>
      <c r="BT12" s="30">
        <v>1023.7</v>
      </c>
      <c r="BU12" s="30">
        <v>1085.5</v>
      </c>
      <c r="BV12" s="30">
        <v>1038.2</v>
      </c>
      <c r="BW12" s="30">
        <v>1096.8</v>
      </c>
      <c r="BX12" s="30">
        <v>1035.0999999999999</v>
      </c>
      <c r="BY12" s="30">
        <v>1032.2</v>
      </c>
      <c r="BZ12" s="30">
        <v>1007.4</v>
      </c>
      <c r="CA12" s="30">
        <v>1115</v>
      </c>
      <c r="CB12" s="30">
        <v>1084.7</v>
      </c>
      <c r="CC12" s="30">
        <v>1156.5</v>
      </c>
      <c r="CD12">
        <v>1108</v>
      </c>
      <c r="CE12">
        <v>1213</v>
      </c>
      <c r="CF12">
        <v>1166.0999999999999</v>
      </c>
      <c r="CG12">
        <v>1273.9000000000001</v>
      </c>
      <c r="CH12">
        <v>1120.2</v>
      </c>
      <c r="CI12">
        <v>1239.7</v>
      </c>
      <c r="CJ12">
        <v>1189.5</v>
      </c>
      <c r="CK12">
        <v>1146.7</v>
      </c>
      <c r="CL12">
        <v>1123</v>
      </c>
      <c r="CM12">
        <v>1203.2</v>
      </c>
      <c r="CN12">
        <v>1223</v>
      </c>
      <c r="CO12">
        <v>1366.5</v>
      </c>
      <c r="CP12">
        <v>1215</v>
      </c>
      <c r="CQ12">
        <v>1262.9000000000001</v>
      </c>
      <c r="CR12">
        <v>1212.7</v>
      </c>
      <c r="CS12">
        <v>1335.8</v>
      </c>
      <c r="CT12">
        <v>1281.9000000000001</v>
      </c>
      <c r="CU12">
        <v>1408.3</v>
      </c>
      <c r="CV12">
        <v>1182.3</v>
      </c>
      <c r="CW12">
        <v>749.6</v>
      </c>
      <c r="CX12">
        <v>562.70000000000005</v>
      </c>
      <c r="CY12">
        <v>379.5</v>
      </c>
      <c r="CZ12">
        <v>374.5</v>
      </c>
      <c r="DA12">
        <v>384.8</v>
      </c>
      <c r="DB12">
        <v>284.8</v>
      </c>
      <c r="DC12">
        <v>283.2</v>
      </c>
      <c r="DD12">
        <v>278.7</v>
      </c>
      <c r="DE12">
        <v>348.2</v>
      </c>
      <c r="DF12">
        <v>283.10000000000002</v>
      </c>
      <c r="DG12">
        <v>243.8</v>
      </c>
      <c r="DH12">
        <v>257.39999999999998</v>
      </c>
      <c r="DI12">
        <v>253.1</v>
      </c>
      <c r="DJ12">
        <v>219.5</v>
      </c>
      <c r="DK12">
        <v>253.7</v>
      </c>
      <c r="DL12">
        <v>237.9</v>
      </c>
      <c r="DM12">
        <v>229.1</v>
      </c>
      <c r="DN12">
        <v>212.8</v>
      </c>
      <c r="DO12">
        <v>210.7</v>
      </c>
      <c r="DP12">
        <v>148.9</v>
      </c>
      <c r="DQ12">
        <v>153</v>
      </c>
      <c r="DR12">
        <v>147.5</v>
      </c>
      <c r="DS12">
        <v>140.80000000000001</v>
      </c>
      <c r="DT12">
        <v>140.6</v>
      </c>
      <c r="DU12">
        <v>152.19999999999999</v>
      </c>
      <c r="DV12">
        <v>122.6</v>
      </c>
      <c r="DW12">
        <v>128</v>
      </c>
      <c r="DX12">
        <v>109.9</v>
      </c>
      <c r="DY12">
        <v>110.8</v>
      </c>
      <c r="DZ12">
        <v>107.2</v>
      </c>
      <c r="EA12">
        <v>104.3</v>
      </c>
      <c r="EB12">
        <v>105.4</v>
      </c>
      <c r="EC12">
        <v>101.79999999999994</v>
      </c>
      <c r="ED12">
        <v>98.4</v>
      </c>
      <c r="EE12">
        <v>96.6</v>
      </c>
      <c r="EF12">
        <v>112.7</v>
      </c>
      <c r="EG12">
        <v>98.900000000000034</v>
      </c>
      <c r="EH12" s="24">
        <v>95.8</v>
      </c>
      <c r="EI12" s="24">
        <v>95.4</v>
      </c>
      <c r="EJ12" s="24">
        <v>101.7</v>
      </c>
      <c r="EK12" s="24">
        <v>137.40000000000003</v>
      </c>
      <c r="EL12" s="24">
        <v>93.1</v>
      </c>
      <c r="EM12" s="24">
        <v>87.3</v>
      </c>
      <c r="EN12" s="24">
        <v>81.400000000000006</v>
      </c>
      <c r="EO12" s="24">
        <v>75.099999999999994</v>
      </c>
      <c r="EP12" s="24">
        <v>106.5</v>
      </c>
      <c r="EQ12" s="24">
        <v>106.5</v>
      </c>
      <c r="ER12" s="24">
        <v>61.400000000000091</v>
      </c>
      <c r="ES12" s="29">
        <v>31.7</v>
      </c>
      <c r="ET12" s="29">
        <v>31.7</v>
      </c>
      <c r="EU12" s="29">
        <v>31.7</v>
      </c>
      <c r="EV12" s="29">
        <v>31.7</v>
      </c>
      <c r="EW12" s="29">
        <v>31.7</v>
      </c>
    </row>
    <row r="13" spans="1:164" s="24" customFormat="1" ht="13" x14ac:dyDescent="0.3">
      <c r="A13">
        <f>+A12+1</f>
        <v>11</v>
      </c>
      <c r="B13" t="s">
        <v>1088</v>
      </c>
      <c r="C13" t="s">
        <v>30</v>
      </c>
      <c r="D13" t="s">
        <v>1376</v>
      </c>
      <c r="E13">
        <v>1</v>
      </c>
      <c r="G13" t="s">
        <v>2010</v>
      </c>
      <c r="H13" s="30">
        <f>SUM(AO13:GL13)</f>
        <v>59847</v>
      </c>
      <c r="I13" s="30"/>
      <c r="J13" s="26">
        <v>942</v>
      </c>
      <c r="K13" s="26">
        <v>3774</v>
      </c>
      <c r="L13" s="26">
        <v>4948</v>
      </c>
      <c r="M13" s="26">
        <v>6735</v>
      </c>
      <c r="N13" s="26">
        <v>7204</v>
      </c>
      <c r="O13" s="26">
        <v>6992</v>
      </c>
      <c r="P13" s="26">
        <v>7523</v>
      </c>
      <c r="Q13" s="26">
        <f>SUM(BQ13:BT13)</f>
        <v>7879</v>
      </c>
      <c r="R13" s="29">
        <f>SUM(BU13:BX13)</f>
        <v>8610</v>
      </c>
      <c r="S13" s="29">
        <f>SUM(BY13:CB13)</f>
        <v>9127</v>
      </c>
      <c r="T13" s="29">
        <f>SUM(CC13:CF13)</f>
        <v>0</v>
      </c>
      <c r="U13" s="29">
        <f>SUM(CG13:CJ13)</f>
        <v>0</v>
      </c>
      <c r="V13" s="29">
        <f>SUM(CK13:CN13)</f>
        <v>0</v>
      </c>
      <c r="W13" s="29">
        <f>SUM(CO13:CR13)</f>
        <v>0</v>
      </c>
      <c r="X13" s="29"/>
      <c r="Y13" s="29"/>
      <c r="Z13" s="29"/>
      <c r="AA13" s="29"/>
      <c r="AB13" s="29"/>
      <c r="AO13" s="26">
        <v>1</v>
      </c>
      <c r="AP13" s="26">
        <v>5</v>
      </c>
      <c r="AQ13" s="26">
        <v>40</v>
      </c>
      <c r="AR13" s="26">
        <v>122</v>
      </c>
      <c r="AS13" s="26">
        <v>305</v>
      </c>
      <c r="AT13" s="26">
        <v>475</v>
      </c>
      <c r="AU13" s="26">
        <v>704</v>
      </c>
      <c r="AV13" s="26">
        <v>840</v>
      </c>
      <c r="AW13" s="26">
        <v>920</v>
      </c>
      <c r="AX13" s="26">
        <v>1310</v>
      </c>
      <c r="AY13" s="26">
        <v>1127</v>
      </c>
      <c r="AZ13" s="26">
        <v>1195</v>
      </c>
      <c r="BA13" s="26">
        <v>1265</v>
      </c>
      <c r="BB13" s="26">
        <v>1361</v>
      </c>
      <c r="BC13" s="26">
        <v>1511</v>
      </c>
      <c r="BD13" s="26">
        <v>1627</v>
      </c>
      <c r="BE13" s="26">
        <v>1793</v>
      </c>
      <c r="BF13" s="26">
        <v>1804</v>
      </c>
      <c r="BG13" s="26">
        <v>1801</v>
      </c>
      <c r="BH13" s="26">
        <v>1823</v>
      </c>
      <c r="BI13" s="26">
        <v>1817</v>
      </c>
      <c r="BJ13" s="26">
        <v>1763</v>
      </c>
      <c r="BK13" s="26">
        <v>1766</v>
      </c>
      <c r="BL13" s="26">
        <v>1653</v>
      </c>
      <c r="BM13" s="26">
        <v>1780</v>
      </c>
      <c r="BN13" s="26">
        <v>1793</v>
      </c>
      <c r="BO13" s="26">
        <v>1720</v>
      </c>
      <c r="BP13" s="26">
        <v>1910</v>
      </c>
      <c r="BQ13" s="26">
        <v>1905</v>
      </c>
      <c r="BR13" s="26">
        <v>1988</v>
      </c>
      <c r="BS13" s="26">
        <v>1923</v>
      </c>
      <c r="BT13" s="26">
        <v>2063</v>
      </c>
      <c r="BU13" s="26">
        <v>2047</v>
      </c>
      <c r="BV13" s="26">
        <v>2216</v>
      </c>
      <c r="BW13" s="26">
        <v>2202</v>
      </c>
      <c r="BX13" s="26">
        <v>2145</v>
      </c>
      <c r="BY13" s="26">
        <v>2275</v>
      </c>
      <c r="BZ13" s="26">
        <v>2387</v>
      </c>
      <c r="CA13" s="26">
        <v>2078</v>
      </c>
      <c r="CB13" s="26">
        <v>2387</v>
      </c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</row>
    <row r="14" spans="1:164" x14ac:dyDescent="0.25">
      <c r="A14">
        <f>+A15+1</f>
        <v>13</v>
      </c>
      <c r="B14" t="s">
        <v>1412</v>
      </c>
      <c r="C14" t="s">
        <v>19</v>
      </c>
      <c r="D14" t="s">
        <v>1380</v>
      </c>
      <c r="H14" s="30">
        <f>SUM(AO14:GL14)</f>
        <v>52236.766666666656</v>
      </c>
      <c r="I14" s="30"/>
      <c r="J14" s="29">
        <f t="shared" ref="J14:J23" si="11">SUM(AO14:AR14)</f>
        <v>11</v>
      </c>
      <c r="K14" s="29">
        <f t="shared" ref="K14:K23" si="12">SUM(AS14:AV14)</f>
        <v>80</v>
      </c>
      <c r="L14" s="29">
        <f t="shared" ref="L14:L23" si="13">SUM(AW14:AZ14)</f>
        <v>167.5</v>
      </c>
      <c r="M14" s="29">
        <f t="shared" ref="M14:M23" si="14">SUM(BA14:BD14)</f>
        <v>280.40000000000003</v>
      </c>
      <c r="N14" s="29">
        <f t="shared" ref="N14:N23" si="15">SUM(BE14:BH14)</f>
        <v>472.20000000000005</v>
      </c>
      <c r="O14" s="29">
        <f t="shared" ref="O14:O23" si="16">SUM(BI14:BL14)</f>
        <v>739.2</v>
      </c>
      <c r="P14" s="29">
        <f t="shared" ref="P14:P23" si="17">SUM(BM14:BP14)</f>
        <v>954.9</v>
      </c>
      <c r="Q14" s="29">
        <f>SUM(BQ14:BT14)</f>
        <v>1069.5999999999999</v>
      </c>
      <c r="R14" s="29">
        <f>SUM(BU14:BX14)</f>
        <v>1131.6000000000001</v>
      </c>
      <c r="S14" s="29">
        <f>SUM(BY14:CB14)</f>
        <v>1241.7666666666667</v>
      </c>
      <c r="T14" s="29">
        <f>SUM(CC14:CF14)</f>
        <v>1372.1</v>
      </c>
      <c r="U14" s="29">
        <f>SUM(CG14:CJ14)</f>
        <v>1622</v>
      </c>
      <c r="V14" s="29">
        <f>SUM(CK14:CN14)</f>
        <v>1818.6</v>
      </c>
      <c r="W14" s="29">
        <f>SUM(CO14:CR14)</f>
        <v>2042</v>
      </c>
      <c r="X14" s="29">
        <f>SUM(CS14:CV14)</f>
        <v>2155.4</v>
      </c>
      <c r="Y14" s="29">
        <f>SUM(CW14:CZ14)</f>
        <v>2458.9</v>
      </c>
      <c r="Z14" s="29">
        <f>SUM(DA14:DD14)</f>
        <v>2453.1</v>
      </c>
      <c r="AA14" s="29">
        <f>SUM(DE14:DH14)</f>
        <v>2700</v>
      </c>
      <c r="AB14" s="29">
        <f>SUM(DI14:DL14)</f>
        <v>2773.5</v>
      </c>
      <c r="AC14" s="29">
        <f>SUM(DM14:DP14)</f>
        <v>2811.9</v>
      </c>
      <c r="AD14" s="29">
        <f>SUM(DQ14:DT14)</f>
        <v>2847.4</v>
      </c>
      <c r="AE14" s="29">
        <f>SUM(DU14:DX14)</f>
        <v>3039.9000000000005</v>
      </c>
      <c r="AF14" s="29">
        <f>SUM(DY14:EB14)</f>
        <v>2843.4</v>
      </c>
      <c r="AG14" s="29">
        <f>SUM(EC14:EF14)</f>
        <v>2663.2</v>
      </c>
      <c r="AH14" s="29">
        <f>SUM(EG14:EJ14)</f>
        <v>2599.6999999999998</v>
      </c>
      <c r="AI14" s="29">
        <f>SUM(EK14:EN14)</f>
        <v>2293.7000000000003</v>
      </c>
      <c r="AJ14" s="29">
        <f>SUM(EO14:ER14)</f>
        <v>1896.6</v>
      </c>
      <c r="AK14" s="29">
        <f>SUM(ES14:EV14)</f>
        <v>1932.3000000000002</v>
      </c>
      <c r="AL14" s="29">
        <f>SUM(EW14:EZ14)</f>
        <v>2194.8000000000002</v>
      </c>
      <c r="AM14" s="29">
        <f>SUM(FA14:FD14)</f>
        <v>1570.1</v>
      </c>
      <c r="AN14" s="29"/>
      <c r="AO14" s="29">
        <v>1</v>
      </c>
      <c r="AP14" s="29">
        <v>2</v>
      </c>
      <c r="AQ14" s="29">
        <v>3</v>
      </c>
      <c r="AR14">
        <v>5</v>
      </c>
      <c r="AS14">
        <v>10</v>
      </c>
      <c r="AT14">
        <v>15</v>
      </c>
      <c r="AU14">
        <v>25</v>
      </c>
      <c r="AV14">
        <v>30</v>
      </c>
      <c r="AW14">
        <v>32</v>
      </c>
      <c r="AX14">
        <v>42.599999999999994</v>
      </c>
      <c r="AY14">
        <v>42.5</v>
      </c>
      <c r="AZ14">
        <v>50.4</v>
      </c>
      <c r="BA14">
        <v>58.7</v>
      </c>
      <c r="BB14">
        <v>72.900000000000006</v>
      </c>
      <c r="BC14">
        <v>72.099999999999994</v>
      </c>
      <c r="BD14">
        <v>76.7</v>
      </c>
      <c r="BE14">
        <v>90.6</v>
      </c>
      <c r="BF14">
        <v>110.80000000000004</v>
      </c>
      <c r="BG14">
        <v>125.2</v>
      </c>
      <c r="BH14">
        <v>145.6</v>
      </c>
      <c r="BI14">
        <v>164.3</v>
      </c>
      <c r="BJ14">
        <v>192.7</v>
      </c>
      <c r="BK14">
        <v>177.4</v>
      </c>
      <c r="BL14">
        <v>204.8</v>
      </c>
      <c r="BM14">
        <v>214.1</v>
      </c>
      <c r="BN14">
        <v>237.9</v>
      </c>
      <c r="BO14">
        <v>248.8</v>
      </c>
      <c r="BP14">
        <v>254.1</v>
      </c>
      <c r="BQ14">
        <v>240.2</v>
      </c>
      <c r="BR14" s="30">
        <v>276.89999999999992</v>
      </c>
      <c r="BS14" s="30">
        <v>267.2</v>
      </c>
      <c r="BT14" s="30">
        <v>285.3</v>
      </c>
      <c r="BU14" s="30">
        <v>264.60000000000002</v>
      </c>
      <c r="BV14" s="30">
        <v>284.60000000000002</v>
      </c>
      <c r="BW14" s="30">
        <v>286.2</v>
      </c>
      <c r="BX14" s="30">
        <v>296.2</v>
      </c>
      <c r="BY14" s="30">
        <v>306.66666666666663</v>
      </c>
      <c r="BZ14" s="30">
        <v>309.10000000000002</v>
      </c>
      <c r="CA14">
        <v>305</v>
      </c>
      <c r="CB14">
        <v>321</v>
      </c>
      <c r="CC14">
        <v>322</v>
      </c>
      <c r="CD14">
        <v>352.2</v>
      </c>
      <c r="CE14">
        <v>339.5</v>
      </c>
      <c r="CF14">
        <v>358.4</v>
      </c>
      <c r="CG14">
        <v>362.5</v>
      </c>
      <c r="CH14">
        <v>414.2</v>
      </c>
      <c r="CI14">
        <v>407.4</v>
      </c>
      <c r="CJ14">
        <v>437.9</v>
      </c>
      <c r="CK14">
        <v>432.6</v>
      </c>
      <c r="CL14">
        <v>457.9</v>
      </c>
      <c r="CM14">
        <v>450.6</v>
      </c>
      <c r="CN14">
        <v>477.5</v>
      </c>
      <c r="CO14">
        <v>500.2</v>
      </c>
      <c r="CP14">
        <v>530.79999999999995</v>
      </c>
      <c r="CQ14">
        <v>506.4</v>
      </c>
      <c r="CR14">
        <v>504.6</v>
      </c>
      <c r="CS14">
        <v>494</v>
      </c>
      <c r="CT14">
        <v>549.1</v>
      </c>
      <c r="CU14">
        <v>525.4</v>
      </c>
      <c r="CV14">
        <v>586.9</v>
      </c>
      <c r="CW14">
        <v>593.20000000000005</v>
      </c>
      <c r="CX14">
        <v>662</v>
      </c>
      <c r="CY14">
        <v>590.29999999999995</v>
      </c>
      <c r="CZ14">
        <v>613.4</v>
      </c>
      <c r="DA14">
        <v>575.79999999999995</v>
      </c>
      <c r="DB14">
        <v>616</v>
      </c>
      <c r="DC14">
        <v>632.70000000000005</v>
      </c>
      <c r="DD14">
        <v>628.6</v>
      </c>
      <c r="DE14">
        <v>616</v>
      </c>
      <c r="DF14">
        <v>733.9</v>
      </c>
      <c r="DG14">
        <v>650</v>
      </c>
      <c r="DH14">
        <v>700.1</v>
      </c>
      <c r="DI14">
        <v>706.1</v>
      </c>
      <c r="DJ14">
        <v>729.1</v>
      </c>
      <c r="DK14">
        <v>684</v>
      </c>
      <c r="DL14">
        <v>654.29999999999995</v>
      </c>
      <c r="DM14">
        <v>705</v>
      </c>
      <c r="DN14">
        <v>798.7</v>
      </c>
      <c r="DO14">
        <v>606.29999999999995</v>
      </c>
      <c r="DP14">
        <v>701.9</v>
      </c>
      <c r="DQ14">
        <v>640.79999999999995</v>
      </c>
      <c r="DR14">
        <v>819.8</v>
      </c>
      <c r="DS14">
        <v>708.4</v>
      </c>
      <c r="DT14">
        <v>678.4</v>
      </c>
      <c r="DU14">
        <v>696.2</v>
      </c>
      <c r="DV14">
        <v>782.2</v>
      </c>
      <c r="DW14">
        <v>791.7</v>
      </c>
      <c r="DX14">
        <v>769.8</v>
      </c>
      <c r="DY14">
        <v>664.6</v>
      </c>
      <c r="DZ14">
        <v>770.4</v>
      </c>
      <c r="EA14">
        <v>730.8</v>
      </c>
      <c r="EB14">
        <v>677.6</v>
      </c>
      <c r="EC14">
        <v>648.9</v>
      </c>
      <c r="ED14">
        <v>763.4</v>
      </c>
      <c r="EE14">
        <v>695.8</v>
      </c>
      <c r="EF14">
        <v>555.1</v>
      </c>
      <c r="EG14">
        <v>656.9</v>
      </c>
      <c r="EH14">
        <v>718.1</v>
      </c>
      <c r="EI14">
        <v>617.09999999999991</v>
      </c>
      <c r="EJ14">
        <v>607.6</v>
      </c>
      <c r="EK14">
        <v>626.70000000000005</v>
      </c>
      <c r="EL14">
        <v>601.70000000000005</v>
      </c>
      <c r="EM14">
        <v>618.20000000000005</v>
      </c>
      <c r="EN14">
        <v>447.1</v>
      </c>
      <c r="EO14">
        <v>447</v>
      </c>
      <c r="EP14">
        <v>548.29999999999995</v>
      </c>
      <c r="EQ14">
        <v>460.9</v>
      </c>
      <c r="ER14">
        <v>440.4</v>
      </c>
      <c r="ES14">
        <v>395.4</v>
      </c>
      <c r="ET14">
        <v>366.6</v>
      </c>
      <c r="EU14">
        <v>538.70000000000005</v>
      </c>
      <c r="EV14">
        <v>631.6</v>
      </c>
      <c r="EW14" s="29">
        <v>534.6</v>
      </c>
      <c r="EX14" s="29">
        <v>619.9</v>
      </c>
      <c r="EY14" s="29">
        <v>537.20000000000005</v>
      </c>
      <c r="EZ14" s="29">
        <v>503.1</v>
      </c>
      <c r="FA14" s="29">
        <v>599.1</v>
      </c>
      <c r="FB14" s="29">
        <v>529</v>
      </c>
      <c r="FC14" s="29">
        <v>442</v>
      </c>
      <c r="FD14" s="29"/>
      <c r="FE14" s="29"/>
      <c r="FF14" s="29"/>
      <c r="FG14" s="29"/>
      <c r="FH14" s="29"/>
    </row>
    <row r="15" spans="1:164" s="24" customFormat="1" ht="13" x14ac:dyDescent="0.3">
      <c r="A15">
        <f>+A13+1</f>
        <v>12</v>
      </c>
      <c r="B15" t="s">
        <v>1364</v>
      </c>
      <c r="C15" t="s">
        <v>44</v>
      </c>
      <c r="D15" t="s">
        <v>1379</v>
      </c>
      <c r="E15"/>
      <c r="F15"/>
      <c r="G15" t="s">
        <v>2014</v>
      </c>
      <c r="H15" s="30">
        <f t="shared" si="0"/>
        <v>50224</v>
      </c>
      <c r="I15" s="30"/>
      <c r="J15" s="29">
        <f t="shared" si="11"/>
        <v>1184</v>
      </c>
      <c r="K15" s="29">
        <f t="shared" si="12"/>
        <v>4738</v>
      </c>
      <c r="L15" s="29">
        <f t="shared" si="13"/>
        <v>7259</v>
      </c>
      <c r="M15" s="29">
        <f t="shared" si="14"/>
        <v>8624</v>
      </c>
      <c r="N15" s="29">
        <f t="shared" si="15"/>
        <v>10391</v>
      </c>
      <c r="O15" s="29">
        <f t="shared" si="16"/>
        <v>11850</v>
      </c>
      <c r="P15" s="29">
        <f t="shared" si="17"/>
        <v>6178</v>
      </c>
      <c r="Q15" s="29">
        <f t="shared" si="1"/>
        <v>0</v>
      </c>
      <c r="R15" s="29">
        <f t="shared" si="2"/>
        <v>0</v>
      </c>
      <c r="S15" s="29">
        <f t="shared" si="3"/>
        <v>0</v>
      </c>
      <c r="T15" s="29">
        <f t="shared" si="4"/>
        <v>0</v>
      </c>
      <c r="U15" s="29">
        <f t="shared" si="5"/>
        <v>0</v>
      </c>
      <c r="V15" s="29">
        <f t="shared" si="6"/>
        <v>0</v>
      </c>
      <c r="W15" s="29">
        <f t="shared" si="7"/>
        <v>0</v>
      </c>
      <c r="X15" s="29"/>
      <c r="Y15" s="29"/>
      <c r="Z15" s="29"/>
      <c r="AA15" s="29"/>
      <c r="AB15" s="29"/>
      <c r="AC15"/>
      <c r="AD15"/>
      <c r="AE15"/>
      <c r="AF15"/>
      <c r="AG15"/>
      <c r="AH15"/>
      <c r="AI15"/>
      <c r="AJ15"/>
      <c r="AK15"/>
      <c r="AL15"/>
      <c r="AM15"/>
      <c r="AN15"/>
      <c r="AO15" s="29">
        <v>35</v>
      </c>
      <c r="AP15" s="29">
        <v>185</v>
      </c>
      <c r="AQ15" s="29">
        <v>386</v>
      </c>
      <c r="AR15" s="30">
        <v>578</v>
      </c>
      <c r="AS15" s="30">
        <v>793</v>
      </c>
      <c r="AT15" s="30">
        <v>1116</v>
      </c>
      <c r="AU15" s="30">
        <v>1259</v>
      </c>
      <c r="AV15" s="30">
        <v>1570</v>
      </c>
      <c r="AW15" s="30">
        <v>1693</v>
      </c>
      <c r="AX15">
        <v>1604</v>
      </c>
      <c r="AY15">
        <v>1891</v>
      </c>
      <c r="AZ15">
        <v>2071</v>
      </c>
      <c r="BA15">
        <v>1824</v>
      </c>
      <c r="BB15">
        <v>1994</v>
      </c>
      <c r="BC15">
        <v>2276</v>
      </c>
      <c r="BD15">
        <v>2530</v>
      </c>
      <c r="BE15">
        <v>2151</v>
      </c>
      <c r="BF15">
        <v>2556</v>
      </c>
      <c r="BG15">
        <v>2766</v>
      </c>
      <c r="BH15">
        <v>2918</v>
      </c>
      <c r="BI15">
        <v>2677</v>
      </c>
      <c r="BJ15">
        <v>2979</v>
      </c>
      <c r="BK15">
        <v>3085</v>
      </c>
      <c r="BL15">
        <v>3109</v>
      </c>
      <c r="BM15">
        <v>2946</v>
      </c>
      <c r="BN15">
        <v>3232</v>
      </c>
      <c r="BO15"/>
      <c r="BP15"/>
      <c r="BQ15"/>
      <c r="BR15" s="30"/>
      <c r="BS15" s="30"/>
      <c r="BT15" s="30"/>
      <c r="BU15" s="30"/>
      <c r="BV15" s="30"/>
      <c r="BW15" s="30"/>
      <c r="BX15" s="30"/>
      <c r="BY15" s="30"/>
      <c r="BZ15" s="30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</row>
    <row r="16" spans="1:164" ht="13" x14ac:dyDescent="0.3">
      <c r="A16">
        <f>+A43+1</f>
        <v>39</v>
      </c>
      <c r="B16" t="s">
        <v>627</v>
      </c>
      <c r="C16" t="s">
        <v>19</v>
      </c>
      <c r="F16" t="s">
        <v>629</v>
      </c>
      <c r="H16" s="30">
        <f t="shared" ref="H16:H21" si="18">SUM(AO16:GL16)</f>
        <v>48813.399999999994</v>
      </c>
      <c r="I16" s="30"/>
      <c r="J16" s="29">
        <f t="shared" si="11"/>
        <v>1051</v>
      </c>
      <c r="K16" s="29">
        <f t="shared" si="12"/>
        <v>6402</v>
      </c>
      <c r="L16" s="29">
        <f t="shared" si="13"/>
        <v>13575.400000000001</v>
      </c>
      <c r="M16" s="29">
        <f t="shared" si="14"/>
        <v>27785</v>
      </c>
      <c r="N16" s="29">
        <f t="shared" si="15"/>
        <v>0</v>
      </c>
      <c r="O16" s="29">
        <f t="shared" si="16"/>
        <v>0</v>
      </c>
      <c r="P16" s="29">
        <f t="shared" si="17"/>
        <v>0</v>
      </c>
      <c r="Q16" s="29">
        <f t="shared" ref="Q16:Q21" si="19">SUM(BQ16:BT16)</f>
        <v>0</v>
      </c>
      <c r="R16" s="29">
        <f t="shared" ref="R16:R21" si="20">SUM(BU16:BX16)</f>
        <v>0</v>
      </c>
      <c r="S16" s="29">
        <f t="shared" ref="S16:S21" si="21">SUM(BY16:CB16)</f>
        <v>0</v>
      </c>
      <c r="T16" s="29">
        <f t="shared" ref="T16:T21" si="22">SUM(CC16:CF16)</f>
        <v>0</v>
      </c>
      <c r="U16" s="29">
        <f t="shared" ref="U16:U21" si="23">SUM(CG16:CJ16)</f>
        <v>0</v>
      </c>
      <c r="V16" s="29"/>
      <c r="W16" s="29"/>
      <c r="X16" s="29"/>
      <c r="Y16" s="29"/>
      <c r="Z16" s="29"/>
      <c r="AA16" s="29"/>
      <c r="AB16" s="29"/>
      <c r="AO16" s="28">
        <v>16</v>
      </c>
      <c r="AP16" s="28">
        <v>187.3</v>
      </c>
      <c r="AQ16" s="28">
        <v>279.2</v>
      </c>
      <c r="AR16" s="31">
        <v>568.5</v>
      </c>
      <c r="AS16" s="28">
        <v>980</v>
      </c>
      <c r="AT16" s="28">
        <v>1409</v>
      </c>
      <c r="AU16" s="28">
        <v>2206</v>
      </c>
      <c r="AV16" s="28">
        <v>1807</v>
      </c>
      <c r="AW16" s="28">
        <v>3090.8</v>
      </c>
      <c r="AX16" s="28">
        <v>3112.7</v>
      </c>
      <c r="AY16" s="28">
        <v>3530.1</v>
      </c>
      <c r="AZ16" s="29">
        <v>3841.8</v>
      </c>
      <c r="BA16" s="29">
        <v>5198.8999999999996</v>
      </c>
      <c r="BB16" s="29">
        <v>6515.1</v>
      </c>
      <c r="BC16" s="29">
        <v>7409</v>
      </c>
      <c r="BD16" s="29">
        <v>8662</v>
      </c>
    </row>
    <row r="17" spans="1:165" x14ac:dyDescent="0.25">
      <c r="A17">
        <f>+A22+1</f>
        <v>22</v>
      </c>
      <c r="B17" t="s">
        <v>638</v>
      </c>
      <c r="C17" t="s">
        <v>19</v>
      </c>
      <c r="D17" t="s">
        <v>1380</v>
      </c>
      <c r="E17">
        <v>3</v>
      </c>
      <c r="H17" s="30">
        <f t="shared" si="18"/>
        <v>47102.6</v>
      </c>
      <c r="I17" s="30"/>
      <c r="J17" s="29">
        <f t="shared" si="11"/>
        <v>146.5</v>
      </c>
      <c r="K17" s="29">
        <f t="shared" si="12"/>
        <v>701</v>
      </c>
      <c r="L17" s="29">
        <f t="shared" si="13"/>
        <v>1717.8</v>
      </c>
      <c r="M17" s="29">
        <f t="shared" si="14"/>
        <v>2923.3</v>
      </c>
      <c r="N17" s="29">
        <f t="shared" si="15"/>
        <v>3844.4</v>
      </c>
      <c r="O17" s="29">
        <f t="shared" si="16"/>
        <v>4773.8999999999996</v>
      </c>
      <c r="P17" s="29">
        <f t="shared" si="17"/>
        <v>6090.5</v>
      </c>
      <c r="Q17" s="29">
        <f t="shared" si="19"/>
        <v>7387.2999999999993</v>
      </c>
      <c r="R17" s="29">
        <f t="shared" si="20"/>
        <v>7399.9</v>
      </c>
      <c r="S17" s="29">
        <f t="shared" si="21"/>
        <v>5672.6</v>
      </c>
      <c r="T17" s="29">
        <f t="shared" si="22"/>
        <v>4489.4000000000005</v>
      </c>
      <c r="U17" s="29">
        <f t="shared" si="23"/>
        <v>1956</v>
      </c>
      <c r="V17" s="29">
        <f>SUM(CK17:CN17)</f>
        <v>0</v>
      </c>
      <c r="W17" s="29">
        <f>SUM(CO17:CR17)</f>
        <v>0</v>
      </c>
      <c r="X17" s="29"/>
      <c r="Y17" s="29"/>
      <c r="Z17" s="29"/>
      <c r="AA17" s="29"/>
      <c r="AB17" s="29"/>
      <c r="AO17" s="28">
        <v>10.199999999999999</v>
      </c>
      <c r="AP17" s="28">
        <v>18.3</v>
      </c>
      <c r="AQ17" s="28">
        <v>44.3</v>
      </c>
      <c r="AR17" s="28">
        <v>73.7</v>
      </c>
      <c r="AS17" s="28">
        <v>112.5</v>
      </c>
      <c r="AT17" s="28">
        <v>143.6</v>
      </c>
      <c r="AU17" s="28">
        <v>201.3</v>
      </c>
      <c r="AV17" s="28">
        <v>243.6</v>
      </c>
      <c r="AW17" s="28">
        <v>337</v>
      </c>
      <c r="AX17" s="28">
        <v>372.9</v>
      </c>
      <c r="AY17" s="28">
        <v>480.2</v>
      </c>
      <c r="AZ17" s="28">
        <v>527.70000000000005</v>
      </c>
      <c r="BA17" s="28">
        <v>649</v>
      </c>
      <c r="BB17" s="28">
        <v>678.3</v>
      </c>
      <c r="BC17" s="28">
        <v>779.8</v>
      </c>
      <c r="BD17" s="28">
        <v>816.2</v>
      </c>
      <c r="BE17" s="28">
        <v>924.7</v>
      </c>
      <c r="BF17" s="28">
        <v>879.7</v>
      </c>
      <c r="BG17" s="28">
        <v>1028.5</v>
      </c>
      <c r="BH17" s="28">
        <v>1011.5</v>
      </c>
      <c r="BI17" s="28">
        <v>1208.0999999999999</v>
      </c>
      <c r="BJ17" s="28">
        <v>1229.4000000000001</v>
      </c>
      <c r="BK17" s="28">
        <v>1229.8</v>
      </c>
      <c r="BL17" s="28">
        <v>1106.5999999999999</v>
      </c>
      <c r="BM17" s="28">
        <v>1502.4</v>
      </c>
      <c r="BN17" s="28">
        <v>1452.4</v>
      </c>
      <c r="BO17" s="28">
        <v>1535.6</v>
      </c>
      <c r="BP17" s="28">
        <v>1600.1</v>
      </c>
      <c r="BQ17" s="28">
        <v>1883.7</v>
      </c>
      <c r="BR17" s="28">
        <v>1741.3</v>
      </c>
      <c r="BS17" s="28">
        <v>1911.9</v>
      </c>
      <c r="BT17" s="28">
        <v>1850.4</v>
      </c>
      <c r="BU17" s="28">
        <v>1936.2</v>
      </c>
      <c r="BV17" s="28">
        <v>1977.1</v>
      </c>
      <c r="BW17" s="30">
        <v>1813</v>
      </c>
      <c r="BX17" s="30">
        <v>1673.6</v>
      </c>
      <c r="BY17" s="30">
        <v>1669.3</v>
      </c>
      <c r="BZ17" s="30">
        <v>1456.3</v>
      </c>
      <c r="CA17" s="30">
        <v>1245.5999999999999</v>
      </c>
      <c r="CB17" s="30">
        <v>1301.4000000000001</v>
      </c>
      <c r="CC17" s="30">
        <v>1250.2</v>
      </c>
      <c r="CD17" s="30">
        <v>1095.2</v>
      </c>
      <c r="CE17" s="30">
        <v>1092.2</v>
      </c>
      <c r="CF17" s="30">
        <v>1051.8</v>
      </c>
      <c r="CG17" s="30">
        <v>1037</v>
      </c>
      <c r="CH17" s="30">
        <v>919</v>
      </c>
    </row>
    <row r="18" spans="1:165" s="24" customFormat="1" ht="13" x14ac:dyDescent="0.3">
      <c r="A18">
        <f>+A14+1</f>
        <v>14</v>
      </c>
      <c r="B18" t="s">
        <v>648</v>
      </c>
      <c r="C18" t="s">
        <v>14</v>
      </c>
      <c r="D18" t="s">
        <v>1376</v>
      </c>
      <c r="E18">
        <v>1</v>
      </c>
      <c r="F18"/>
      <c r="G18"/>
      <c r="H18" s="30">
        <f t="shared" si="18"/>
        <v>43368</v>
      </c>
      <c r="I18" s="30"/>
      <c r="J18" s="29">
        <f t="shared" si="11"/>
        <v>383</v>
      </c>
      <c r="K18" s="29">
        <f t="shared" si="12"/>
        <v>1071</v>
      </c>
      <c r="L18" s="29">
        <f t="shared" si="13"/>
        <v>1812</v>
      </c>
      <c r="M18" s="29">
        <f t="shared" si="14"/>
        <v>2752</v>
      </c>
      <c r="N18" s="29">
        <f t="shared" si="15"/>
        <v>3767</v>
      </c>
      <c r="O18" s="29">
        <f t="shared" si="16"/>
        <v>5631</v>
      </c>
      <c r="P18" s="29">
        <f t="shared" si="17"/>
        <v>7539</v>
      </c>
      <c r="Q18" s="29">
        <f t="shared" si="19"/>
        <v>9277</v>
      </c>
      <c r="R18" s="29">
        <f t="shared" si="20"/>
        <v>11136</v>
      </c>
      <c r="S18" s="29">
        <f t="shared" si="21"/>
        <v>0</v>
      </c>
      <c r="T18" s="29">
        <f t="shared" si="22"/>
        <v>0</v>
      </c>
      <c r="U18" s="29">
        <f t="shared" si="23"/>
        <v>0</v>
      </c>
      <c r="V18" s="29">
        <f>SUM(CK18:CN18)</f>
        <v>0</v>
      </c>
      <c r="W18" s="29">
        <f>SUM(CO18:CR18)</f>
        <v>0</v>
      </c>
      <c r="X18" s="29"/>
      <c r="Y18" s="29"/>
      <c r="Z18" s="29"/>
      <c r="AA18" s="29"/>
      <c r="AB18" s="29"/>
      <c r="AC18"/>
      <c r="AD18"/>
      <c r="AE18"/>
      <c r="AF18"/>
      <c r="AG18"/>
      <c r="AH18"/>
      <c r="AI18"/>
      <c r="AJ18"/>
      <c r="AK18"/>
      <c r="AL18"/>
      <c r="AM18"/>
      <c r="AN18"/>
      <c r="AO18" s="29">
        <v>20</v>
      </c>
      <c r="AP18" s="29">
        <v>101</v>
      </c>
      <c r="AQ18" s="29">
        <v>108</v>
      </c>
      <c r="AR18" s="33">
        <f>AVERAGE(AQ18,AS18)</f>
        <v>154</v>
      </c>
      <c r="AS18">
        <v>200</v>
      </c>
      <c r="AT18">
        <v>255</v>
      </c>
      <c r="AU18">
        <v>299</v>
      </c>
      <c r="AV18">
        <v>317</v>
      </c>
      <c r="AW18">
        <v>371</v>
      </c>
      <c r="AX18">
        <v>432</v>
      </c>
      <c r="AY18">
        <v>511</v>
      </c>
      <c r="AZ18">
        <v>498</v>
      </c>
      <c r="BA18">
        <v>584</v>
      </c>
      <c r="BB18">
        <v>629</v>
      </c>
      <c r="BC18">
        <v>774</v>
      </c>
      <c r="BD18">
        <v>765</v>
      </c>
      <c r="BE18">
        <v>830</v>
      </c>
      <c r="BF18">
        <v>937</v>
      </c>
      <c r="BG18">
        <v>901</v>
      </c>
      <c r="BH18">
        <v>1099</v>
      </c>
      <c r="BI18">
        <v>1253</v>
      </c>
      <c r="BJ18">
        <v>1365</v>
      </c>
      <c r="BK18">
        <v>1433</v>
      </c>
      <c r="BL18">
        <v>1580</v>
      </c>
      <c r="BM18">
        <v>1645</v>
      </c>
      <c r="BN18">
        <v>1856</v>
      </c>
      <c r="BO18">
        <v>1986</v>
      </c>
      <c r="BP18">
        <v>2052</v>
      </c>
      <c r="BQ18">
        <v>2083</v>
      </c>
      <c r="BR18" s="30">
        <v>2264</v>
      </c>
      <c r="BS18" s="29">
        <v>2431</v>
      </c>
      <c r="BT18" s="29">
        <v>2499</v>
      </c>
      <c r="BU18" s="29">
        <v>2550</v>
      </c>
      <c r="BV18" s="29">
        <v>2692</v>
      </c>
      <c r="BW18" s="29">
        <v>2878</v>
      </c>
      <c r="BX18" s="29">
        <v>3016</v>
      </c>
      <c r="BY18" s="30"/>
      <c r="BZ18" s="30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</row>
    <row r="19" spans="1:165" ht="13" x14ac:dyDescent="0.3">
      <c r="A19">
        <f>+A18+1</f>
        <v>15</v>
      </c>
      <c r="B19" t="s">
        <v>651</v>
      </c>
      <c r="C19" t="s">
        <v>26</v>
      </c>
      <c r="D19" t="s">
        <v>1381</v>
      </c>
      <c r="E19" s="24">
        <v>1</v>
      </c>
      <c r="H19" s="30">
        <f t="shared" si="18"/>
        <v>41658</v>
      </c>
      <c r="I19" s="30"/>
      <c r="J19" s="29">
        <f t="shared" si="11"/>
        <v>600</v>
      </c>
      <c r="K19" s="29">
        <f t="shared" si="12"/>
        <v>1616</v>
      </c>
      <c r="L19" s="29">
        <f t="shared" si="13"/>
        <v>1400</v>
      </c>
      <c r="M19" s="29">
        <f t="shared" si="14"/>
        <v>1089</v>
      </c>
      <c r="N19" s="29">
        <f t="shared" si="15"/>
        <v>970</v>
      </c>
      <c r="O19" s="29">
        <f t="shared" si="16"/>
        <v>1280</v>
      </c>
      <c r="P19" s="29">
        <f t="shared" si="17"/>
        <v>1737</v>
      </c>
      <c r="Q19" s="29">
        <f t="shared" si="19"/>
        <v>1825</v>
      </c>
      <c r="R19" s="29">
        <f t="shared" si="20"/>
        <v>1714</v>
      </c>
      <c r="S19" s="29">
        <f t="shared" si="21"/>
        <v>1927</v>
      </c>
      <c r="T19" s="29">
        <f t="shared" si="22"/>
        <v>2327</v>
      </c>
      <c r="U19" s="29">
        <f t="shared" si="23"/>
        <v>2437</v>
      </c>
      <c r="V19" s="29">
        <f>SUM(CK19:CN19)</f>
        <v>3329</v>
      </c>
      <c r="W19" s="29">
        <f>SUM(CO19:CR19)</f>
        <v>3996</v>
      </c>
      <c r="X19" s="29">
        <f>SUM(CS19:CV19)</f>
        <v>3758</v>
      </c>
      <c r="Y19" s="29">
        <f>SUM(CW19:CZ19)</f>
        <v>6215</v>
      </c>
      <c r="Z19" s="29">
        <f>SUM(DA19:DD19)</f>
        <v>5438</v>
      </c>
      <c r="AA19" s="29">
        <f>SUM(DE19:DH19)</f>
        <v>0</v>
      </c>
      <c r="AB19" s="29">
        <f>SUM(DI19:DL19)</f>
        <v>0</v>
      </c>
      <c r="AC19" s="29">
        <f>SUM(DM19:DP19)</f>
        <v>0</v>
      </c>
      <c r="AO19" s="29">
        <v>10</v>
      </c>
      <c r="AP19" s="29">
        <v>70</v>
      </c>
      <c r="AQ19" s="29">
        <v>155</v>
      </c>
      <c r="AR19">
        <v>365</v>
      </c>
      <c r="AS19">
        <v>358</v>
      </c>
      <c r="AT19">
        <v>418</v>
      </c>
      <c r="AU19">
        <v>450</v>
      </c>
      <c r="AV19">
        <v>390</v>
      </c>
      <c r="AW19">
        <v>326</v>
      </c>
      <c r="AX19">
        <v>401</v>
      </c>
      <c r="AY19">
        <v>411</v>
      </c>
      <c r="AZ19">
        <v>262</v>
      </c>
      <c r="BA19">
        <v>268</v>
      </c>
      <c r="BB19">
        <v>311</v>
      </c>
      <c r="BC19">
        <v>277</v>
      </c>
      <c r="BD19">
        <v>233</v>
      </c>
      <c r="BE19">
        <v>219</v>
      </c>
      <c r="BF19">
        <v>316</v>
      </c>
      <c r="BG19">
        <v>221</v>
      </c>
      <c r="BH19">
        <v>214</v>
      </c>
      <c r="BI19">
        <v>277</v>
      </c>
      <c r="BJ19">
        <v>445</v>
      </c>
      <c r="BK19">
        <v>274</v>
      </c>
      <c r="BL19">
        <v>284</v>
      </c>
      <c r="BM19">
        <v>324</v>
      </c>
      <c r="BN19">
        <v>581</v>
      </c>
      <c r="BO19">
        <v>442</v>
      </c>
      <c r="BP19">
        <v>390</v>
      </c>
      <c r="BQ19">
        <v>383</v>
      </c>
      <c r="BR19" s="30">
        <v>665</v>
      </c>
      <c r="BS19" s="30">
        <v>394</v>
      </c>
      <c r="BT19" s="30">
        <v>383</v>
      </c>
      <c r="BU19" s="30">
        <v>409</v>
      </c>
      <c r="BV19" s="30">
        <v>590</v>
      </c>
      <c r="BW19" s="30">
        <v>356</v>
      </c>
      <c r="BX19" s="30">
        <v>359</v>
      </c>
      <c r="BY19" s="30">
        <v>427</v>
      </c>
      <c r="BZ19" s="30">
        <v>625</v>
      </c>
      <c r="CA19">
        <v>497</v>
      </c>
      <c r="CB19">
        <v>378</v>
      </c>
      <c r="CC19">
        <v>393</v>
      </c>
      <c r="CD19">
        <v>860</v>
      </c>
      <c r="CE19">
        <v>542</v>
      </c>
      <c r="CF19">
        <v>532</v>
      </c>
      <c r="CG19">
        <v>469</v>
      </c>
      <c r="CH19">
        <v>675</v>
      </c>
      <c r="CI19">
        <v>633</v>
      </c>
      <c r="CJ19">
        <v>660</v>
      </c>
      <c r="CK19">
        <v>608</v>
      </c>
      <c r="CL19">
        <v>1048</v>
      </c>
      <c r="CM19">
        <v>835</v>
      </c>
      <c r="CN19">
        <v>838</v>
      </c>
      <c r="CO19">
        <v>886</v>
      </c>
      <c r="CP19">
        <v>1320</v>
      </c>
      <c r="CQ19">
        <v>693</v>
      </c>
      <c r="CR19">
        <v>1097</v>
      </c>
      <c r="CS19">
        <v>656</v>
      </c>
      <c r="CT19">
        <v>1187</v>
      </c>
      <c r="CU19">
        <v>998</v>
      </c>
      <c r="CV19">
        <v>917</v>
      </c>
      <c r="CW19">
        <v>1234</v>
      </c>
      <c r="CX19">
        <v>1993</v>
      </c>
      <c r="CY19">
        <v>1528</v>
      </c>
      <c r="CZ19">
        <v>1460</v>
      </c>
      <c r="DA19">
        <v>1674</v>
      </c>
      <c r="DB19">
        <v>2294</v>
      </c>
      <c r="DC19">
        <v>1470</v>
      </c>
    </row>
    <row r="20" spans="1:165" x14ac:dyDescent="0.25">
      <c r="A20">
        <f>+A19+1</f>
        <v>16</v>
      </c>
      <c r="B20" t="s">
        <v>1373</v>
      </c>
      <c r="C20" t="s">
        <v>22</v>
      </c>
      <c r="D20" t="s">
        <v>1376</v>
      </c>
      <c r="E20">
        <v>1</v>
      </c>
      <c r="H20" s="30">
        <f t="shared" si="18"/>
        <v>37946</v>
      </c>
      <c r="I20" s="30"/>
      <c r="J20" s="29">
        <f t="shared" si="11"/>
        <v>723</v>
      </c>
      <c r="K20" s="29">
        <f t="shared" si="12"/>
        <v>2136</v>
      </c>
      <c r="L20" s="29">
        <f t="shared" si="13"/>
        <v>3126</v>
      </c>
      <c r="M20" s="29">
        <f t="shared" si="14"/>
        <v>4118</v>
      </c>
      <c r="N20" s="29">
        <f t="shared" si="15"/>
        <v>4960</v>
      </c>
      <c r="O20" s="29">
        <f t="shared" si="16"/>
        <v>5390</v>
      </c>
      <c r="P20" s="29">
        <f t="shared" si="17"/>
        <v>5437</v>
      </c>
      <c r="Q20" s="29">
        <f t="shared" si="19"/>
        <v>5119</v>
      </c>
      <c r="R20" s="29">
        <f t="shared" si="20"/>
        <v>4753</v>
      </c>
      <c r="S20" s="29">
        <f t="shared" si="21"/>
        <v>2184</v>
      </c>
      <c r="T20" s="29">
        <f t="shared" si="22"/>
        <v>0</v>
      </c>
      <c r="U20" s="29">
        <f t="shared" si="23"/>
        <v>0</v>
      </c>
      <c r="V20" s="29">
        <f>SUM(CK20:CN20)</f>
        <v>0</v>
      </c>
      <c r="W20" s="29">
        <f>SUM(CO20:CR20)</f>
        <v>0</v>
      </c>
      <c r="X20" s="29"/>
      <c r="Y20" s="29"/>
      <c r="Z20" s="29"/>
      <c r="AA20" s="29"/>
      <c r="AB20" s="29"/>
      <c r="AO20" s="29">
        <v>38</v>
      </c>
      <c r="AP20" s="29">
        <v>140</v>
      </c>
      <c r="AQ20" s="29">
        <v>230</v>
      </c>
      <c r="AR20" s="29">
        <v>315</v>
      </c>
      <c r="AS20" s="29">
        <v>429</v>
      </c>
      <c r="AT20" s="29">
        <v>514</v>
      </c>
      <c r="AU20" s="29">
        <v>550</v>
      </c>
      <c r="AV20" s="29">
        <v>643</v>
      </c>
      <c r="AW20" s="29">
        <v>679</v>
      </c>
      <c r="AX20" s="29">
        <v>853</v>
      </c>
      <c r="AY20" s="29">
        <v>878</v>
      </c>
      <c r="AZ20" s="29">
        <v>716</v>
      </c>
      <c r="BA20" s="29">
        <v>933</v>
      </c>
      <c r="BB20" s="29">
        <v>1027</v>
      </c>
      <c r="BC20" s="29">
        <v>1025</v>
      </c>
      <c r="BD20" s="29">
        <v>1133</v>
      </c>
      <c r="BE20" s="29">
        <v>1133</v>
      </c>
      <c r="BF20" s="29">
        <v>1261</v>
      </c>
      <c r="BG20" s="29">
        <v>1283</v>
      </c>
      <c r="BH20" s="29">
        <v>1283</v>
      </c>
      <c r="BI20" s="29">
        <v>1248</v>
      </c>
      <c r="BJ20" s="29">
        <v>1349</v>
      </c>
      <c r="BK20" s="29">
        <v>1357</v>
      </c>
      <c r="BL20" s="29">
        <v>1436</v>
      </c>
      <c r="BM20" s="29">
        <v>1254</v>
      </c>
      <c r="BN20" s="29">
        <v>1404</v>
      </c>
      <c r="BO20" s="29">
        <v>1381</v>
      </c>
      <c r="BP20" s="29">
        <v>1398</v>
      </c>
      <c r="BQ20" s="29">
        <v>1237</v>
      </c>
      <c r="BR20" s="29">
        <v>1320</v>
      </c>
      <c r="BS20" s="29">
        <v>1283</v>
      </c>
      <c r="BT20" s="29">
        <v>1279</v>
      </c>
      <c r="BU20" s="29">
        <v>1144</v>
      </c>
      <c r="BV20" s="29">
        <v>1247</v>
      </c>
      <c r="BW20" s="29">
        <v>1244</v>
      </c>
      <c r="BX20" s="29">
        <v>1118</v>
      </c>
      <c r="BY20" s="29">
        <v>1054</v>
      </c>
      <c r="BZ20" s="29">
        <v>1130</v>
      </c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</row>
    <row r="21" spans="1:165" x14ac:dyDescent="0.25">
      <c r="A21">
        <f>+A69+1</f>
        <v>59</v>
      </c>
      <c r="B21" t="s">
        <v>1543</v>
      </c>
      <c r="C21" t="s">
        <v>19</v>
      </c>
      <c r="D21" t="s">
        <v>1380</v>
      </c>
      <c r="G21" t="s">
        <v>2024</v>
      </c>
      <c r="H21" s="30">
        <f t="shared" si="18"/>
        <v>33688.69999999999</v>
      </c>
      <c r="I21" s="30"/>
      <c r="J21" s="29">
        <f t="shared" si="11"/>
        <v>794</v>
      </c>
      <c r="K21" s="29">
        <f t="shared" si="12"/>
        <v>884</v>
      </c>
      <c r="L21" s="29">
        <f t="shared" si="13"/>
        <v>936</v>
      </c>
      <c r="M21" s="29">
        <f t="shared" si="14"/>
        <v>697</v>
      </c>
      <c r="N21" s="29">
        <f t="shared" si="15"/>
        <v>1090</v>
      </c>
      <c r="O21" s="29">
        <f t="shared" si="16"/>
        <v>1110</v>
      </c>
      <c r="P21" s="29">
        <f t="shared" si="17"/>
        <v>1060</v>
      </c>
      <c r="Q21" s="29">
        <f t="shared" si="19"/>
        <v>1000</v>
      </c>
      <c r="R21" s="29">
        <f t="shared" si="20"/>
        <v>1060</v>
      </c>
      <c r="S21" s="29">
        <f t="shared" si="21"/>
        <v>997.60000000000014</v>
      </c>
      <c r="T21" s="29">
        <f t="shared" si="22"/>
        <v>1004.8</v>
      </c>
      <c r="U21" s="29">
        <f t="shared" si="23"/>
        <v>926</v>
      </c>
      <c r="V21" s="29">
        <f>SUM(CK21:CN21)</f>
        <v>985.30000000000007</v>
      </c>
      <c r="W21" s="29">
        <f>SUM(CO21:CR21)</f>
        <v>1063.0999999999999</v>
      </c>
      <c r="X21" s="29">
        <f>SUM(CS21:CV21)</f>
        <v>1022.0999999999999</v>
      </c>
      <c r="Y21" s="29">
        <f>SUM(CW21:CZ21)</f>
        <v>1088.9000000000001</v>
      </c>
      <c r="Z21" s="29">
        <f>SUM(DA21:DD21)</f>
        <v>1248.7</v>
      </c>
      <c r="AA21" s="29">
        <f>SUM(DE21:DH21)</f>
        <v>1239.0999999999999</v>
      </c>
      <c r="AB21" s="29">
        <f>SUM(DI21:DL21)</f>
        <v>1315.9</v>
      </c>
      <c r="AC21" s="29">
        <f>SUM(DM21:DP21)</f>
        <v>1400.1</v>
      </c>
      <c r="AD21" s="29">
        <f>SUM(DQ21:DT21)</f>
        <v>1307.4000000000001</v>
      </c>
      <c r="AE21" s="29">
        <f>SUM(DU21:DX21)</f>
        <v>1366</v>
      </c>
      <c r="AF21" s="29">
        <f>SUM(DY21:EB21)</f>
        <v>1335.4</v>
      </c>
      <c r="AG21" s="29">
        <f>SUM(EC21:EF21)</f>
        <v>1331.4</v>
      </c>
      <c r="AH21" s="29">
        <f>SUM(EG21:EJ21)</f>
        <v>1290.0999999999999</v>
      </c>
      <c r="AI21" s="29">
        <f>SUM(EK21:EN21)</f>
        <v>1259.5999999999999</v>
      </c>
      <c r="AJ21" s="29">
        <f>SUM(EO21:ER21)</f>
        <v>1222.5</v>
      </c>
      <c r="AK21" s="29">
        <f>SUM(ES21:EV21)</f>
        <v>1019.4000000000001</v>
      </c>
      <c r="AL21" s="29">
        <f>SUM(EW21:EZ21)</f>
        <v>852.10000000000014</v>
      </c>
      <c r="AM21" s="29">
        <f>SUM(FA21:FD21)</f>
        <v>917.2</v>
      </c>
      <c r="AO21">
        <v>170</v>
      </c>
      <c r="AP21">
        <v>190</v>
      </c>
      <c r="AQ21">
        <v>210</v>
      </c>
      <c r="AR21">
        <f>794-AQ21-AP21-AO21</f>
        <v>224</v>
      </c>
      <c r="AS21" s="29">
        <v>207</v>
      </c>
      <c r="AT21" s="29">
        <v>212</v>
      </c>
      <c r="AU21" s="29">
        <v>225.6</v>
      </c>
      <c r="AV21" s="29">
        <f>884-AU21-AT21-AS21</f>
        <v>239.39999999999998</v>
      </c>
      <c r="AW21" s="29">
        <v>209.8</v>
      </c>
      <c r="AX21" s="29">
        <v>219.1</v>
      </c>
      <c r="AY21" s="29">
        <v>226.4</v>
      </c>
      <c r="AZ21" s="29">
        <f>936-AY21-AX21-AW21</f>
        <v>280.7</v>
      </c>
      <c r="BA21" s="29">
        <v>195</v>
      </c>
      <c r="BB21" s="29">
        <f>291-BB68-30</f>
        <v>79</v>
      </c>
      <c r="BC21" s="29">
        <f>288-BC68-30</f>
        <v>258</v>
      </c>
      <c r="BD21" s="29">
        <f>1150-BC21-BB21-BA21-SUM(BA68:BD68)-120</f>
        <v>165</v>
      </c>
      <c r="BE21" s="29">
        <v>202.9</v>
      </c>
      <c r="BF21" s="29">
        <v>278.3</v>
      </c>
      <c r="BG21" s="29">
        <v>292.3</v>
      </c>
      <c r="BH21" s="29">
        <f>1090-BG21-BF21-BE21</f>
        <v>316.50000000000011</v>
      </c>
      <c r="BI21" s="29">
        <v>273.7</v>
      </c>
      <c r="BJ21" s="29">
        <v>265</v>
      </c>
      <c r="BK21" s="29">
        <v>282.60000000000002</v>
      </c>
      <c r="BL21" s="29">
        <f>1110-BK21-BJ21-BI21</f>
        <v>288.7</v>
      </c>
      <c r="BM21" s="29">
        <v>273.5</v>
      </c>
      <c r="BN21" s="29">
        <v>264.7</v>
      </c>
      <c r="BO21" s="29">
        <v>254.7</v>
      </c>
      <c r="BP21" s="29">
        <f>1060-BO21-BN21-BM21</f>
        <v>267.09999999999991</v>
      </c>
      <c r="BQ21" s="29">
        <v>234.5</v>
      </c>
      <c r="BR21" s="29">
        <v>257.60000000000002</v>
      </c>
      <c r="BS21" s="29">
        <v>257.39999999999998</v>
      </c>
      <c r="BT21" s="29">
        <f>1000-BS21-BR21-BQ21</f>
        <v>250.5</v>
      </c>
      <c r="BU21" s="29">
        <v>241</v>
      </c>
      <c r="BV21" s="29">
        <v>255.5</v>
      </c>
      <c r="BW21" s="29">
        <v>264.5</v>
      </c>
      <c r="BX21" s="29">
        <f>1060-BW21-BV21-BU21</f>
        <v>299</v>
      </c>
      <c r="BY21" s="29">
        <v>249.4</v>
      </c>
      <c r="BZ21" s="29">
        <v>259.3</v>
      </c>
      <c r="CA21" s="29">
        <v>243.7</v>
      </c>
      <c r="CB21" s="29">
        <v>245.2</v>
      </c>
      <c r="CC21" s="29">
        <v>256.89999999999998</v>
      </c>
      <c r="CD21" s="29">
        <v>249.8</v>
      </c>
      <c r="CE21" s="29">
        <v>250.9</v>
      </c>
      <c r="CF21" s="29">
        <v>247.2</v>
      </c>
      <c r="CG21" s="29">
        <v>219</v>
      </c>
      <c r="CH21" s="29">
        <v>220</v>
      </c>
      <c r="CI21" s="29">
        <v>230</v>
      </c>
      <c r="CJ21" s="29">
        <v>257</v>
      </c>
      <c r="CK21" s="29">
        <v>225.8</v>
      </c>
      <c r="CL21" s="29">
        <v>242.8</v>
      </c>
      <c r="CM21" s="29">
        <v>243.3</v>
      </c>
      <c r="CN21" s="29">
        <v>273.39999999999998</v>
      </c>
      <c r="CO21" s="29">
        <v>257.7</v>
      </c>
      <c r="CP21" s="29">
        <v>271.39999999999998</v>
      </c>
      <c r="CQ21" s="29">
        <v>271.60000000000002</v>
      </c>
      <c r="CR21" s="29">
        <v>262.39999999999998</v>
      </c>
      <c r="CS21" s="29">
        <v>240.6</v>
      </c>
      <c r="CT21" s="29">
        <v>248.1</v>
      </c>
      <c r="CU21" s="29">
        <v>260.39999999999998</v>
      </c>
      <c r="CV21" s="29">
        <v>273</v>
      </c>
      <c r="CW21" s="29">
        <v>257.8</v>
      </c>
      <c r="CX21" s="29">
        <v>265.2</v>
      </c>
      <c r="CY21" s="29">
        <v>278</v>
      </c>
      <c r="CZ21" s="29">
        <v>287.89999999999998</v>
      </c>
      <c r="DA21" s="29">
        <v>289.8</v>
      </c>
      <c r="DB21" s="29">
        <v>311.8</v>
      </c>
      <c r="DC21" s="29">
        <v>301.5</v>
      </c>
      <c r="DD21" s="29">
        <v>345.6</v>
      </c>
      <c r="DE21" s="29">
        <v>307.7</v>
      </c>
      <c r="DF21" s="29">
        <v>303</v>
      </c>
      <c r="DG21" s="29">
        <v>285.39999999999998</v>
      </c>
      <c r="DH21" s="29">
        <v>343</v>
      </c>
      <c r="DI21" s="29">
        <v>311.89999999999998</v>
      </c>
      <c r="DJ21" s="29">
        <v>327.5</v>
      </c>
      <c r="DK21" s="29">
        <v>307</v>
      </c>
      <c r="DL21" s="29">
        <v>369.5</v>
      </c>
      <c r="DM21" s="29">
        <v>316.2</v>
      </c>
      <c r="DN21" s="29">
        <v>352.4</v>
      </c>
      <c r="DO21" s="29">
        <v>335.9</v>
      </c>
      <c r="DP21" s="29">
        <v>395.6</v>
      </c>
      <c r="DQ21" s="29">
        <v>315.7</v>
      </c>
      <c r="DR21" s="29">
        <v>316.39999999999998</v>
      </c>
      <c r="DS21" s="29">
        <v>316.7</v>
      </c>
      <c r="DT21" s="29">
        <v>358.6</v>
      </c>
      <c r="DU21" s="29">
        <v>356.4</v>
      </c>
      <c r="DV21" s="29">
        <v>332.3</v>
      </c>
      <c r="DW21" s="29">
        <v>322</v>
      </c>
      <c r="DX21" s="29">
        <v>355.3</v>
      </c>
      <c r="DY21" s="29">
        <v>314.5</v>
      </c>
      <c r="DZ21" s="29">
        <v>357.8</v>
      </c>
      <c r="EA21" s="29">
        <v>300.5</v>
      </c>
      <c r="EB21" s="29">
        <v>362.6</v>
      </c>
      <c r="EC21" s="29">
        <v>325.89999999999998</v>
      </c>
      <c r="ED21" s="29">
        <v>346</v>
      </c>
      <c r="EE21" s="29">
        <v>322.10000000000002</v>
      </c>
      <c r="EF21" s="29">
        <v>337.4</v>
      </c>
      <c r="EG21" s="29">
        <v>297.7</v>
      </c>
      <c r="EH21" s="29">
        <v>322.60000000000002</v>
      </c>
      <c r="EI21" s="29">
        <v>321.8</v>
      </c>
      <c r="EJ21" s="29">
        <v>348</v>
      </c>
      <c r="EK21" s="29">
        <v>315.7</v>
      </c>
      <c r="EL21" s="29">
        <v>313.60000000000002</v>
      </c>
      <c r="EM21" s="29">
        <v>305.89999999999998</v>
      </c>
      <c r="EN21" s="29">
        <v>324.39999999999998</v>
      </c>
      <c r="EO21" s="29">
        <f>219+102.7</f>
        <v>321.7</v>
      </c>
      <c r="EP21" s="29">
        <v>315.3</v>
      </c>
      <c r="EQ21" s="29">
        <v>286.7</v>
      </c>
      <c r="ER21" s="29">
        <v>298.8</v>
      </c>
      <c r="ES21" s="29">
        <f>190.4+82.8</f>
        <v>273.2</v>
      </c>
      <c r="ET21" s="29">
        <v>274</v>
      </c>
      <c r="EU21" s="29">
        <v>238.2</v>
      </c>
      <c r="EV21" s="29">
        <v>234</v>
      </c>
      <c r="EW21" s="29">
        <v>252</v>
      </c>
      <c r="EX21" s="29">
        <v>205.3</v>
      </c>
      <c r="EY21" s="29">
        <v>206.7</v>
      </c>
      <c r="EZ21" s="29">
        <f>852.1-EY21-EX21-EW21</f>
        <v>188.10000000000008</v>
      </c>
      <c r="FA21" s="29">
        <v>206.2</v>
      </c>
      <c r="FB21" s="29">
        <v>223.6</v>
      </c>
      <c r="FC21" s="29">
        <v>207.1</v>
      </c>
      <c r="FD21" s="29">
        <v>280.3</v>
      </c>
      <c r="FE21" s="29">
        <v>173.2</v>
      </c>
      <c r="FF21" s="29">
        <v>175.2</v>
      </c>
      <c r="FG21" s="29">
        <v>176.6</v>
      </c>
      <c r="FH21" s="29">
        <v>180</v>
      </c>
      <c r="FI21" s="29">
        <v>160</v>
      </c>
    </row>
    <row r="22" spans="1:165" x14ac:dyDescent="0.25">
      <c r="A22">
        <f>+A23+1</f>
        <v>21</v>
      </c>
      <c r="B22" t="s">
        <v>1369</v>
      </c>
      <c r="C22" t="s">
        <v>44</v>
      </c>
      <c r="D22" t="s">
        <v>1401</v>
      </c>
      <c r="G22" t="s">
        <v>2015</v>
      </c>
      <c r="H22" s="30">
        <f t="shared" si="0"/>
        <v>31975</v>
      </c>
      <c r="I22" s="30"/>
      <c r="J22" s="29">
        <f t="shared" si="11"/>
        <v>9314</v>
      </c>
      <c r="K22" s="29">
        <f t="shared" si="12"/>
        <v>12258</v>
      </c>
      <c r="L22" s="29">
        <f t="shared" si="13"/>
        <v>6253</v>
      </c>
      <c r="M22" s="29">
        <f t="shared" si="14"/>
        <v>2296</v>
      </c>
      <c r="N22" s="29">
        <f t="shared" si="15"/>
        <v>961</v>
      </c>
      <c r="O22" s="29">
        <f t="shared" si="16"/>
        <v>404</v>
      </c>
      <c r="P22" s="29">
        <f t="shared" si="17"/>
        <v>211</v>
      </c>
      <c r="Q22" s="29">
        <f t="shared" si="1"/>
        <v>152</v>
      </c>
      <c r="R22" s="29">
        <f t="shared" si="2"/>
        <v>86</v>
      </c>
      <c r="S22" s="29">
        <f t="shared" si="3"/>
        <v>40</v>
      </c>
      <c r="T22" s="29">
        <f t="shared" si="4"/>
        <v>0</v>
      </c>
      <c r="U22" s="29">
        <f t="shared" si="5"/>
        <v>0</v>
      </c>
      <c r="V22" s="29">
        <f t="shared" si="6"/>
        <v>0</v>
      </c>
      <c r="W22" s="29">
        <f t="shared" si="7"/>
        <v>0</v>
      </c>
      <c r="X22" s="29"/>
      <c r="Y22" s="29"/>
      <c r="Z22" s="29"/>
      <c r="AA22" s="29"/>
      <c r="AB22" s="29"/>
      <c r="AO22" s="29">
        <v>20</v>
      </c>
      <c r="AP22" s="29">
        <v>2107</v>
      </c>
      <c r="AQ22" s="29">
        <v>3579</v>
      </c>
      <c r="AR22" s="30">
        <v>3608</v>
      </c>
      <c r="AS22" s="30">
        <v>3332</v>
      </c>
      <c r="AT22" s="30">
        <v>3345</v>
      </c>
      <c r="AU22" s="30">
        <v>3017</v>
      </c>
      <c r="AV22" s="30">
        <v>2564</v>
      </c>
      <c r="AW22" s="30">
        <v>1860</v>
      </c>
      <c r="AX22">
        <v>1640</v>
      </c>
      <c r="AY22">
        <v>1371</v>
      </c>
      <c r="AZ22">
        <v>1382</v>
      </c>
      <c r="BA22">
        <v>973</v>
      </c>
      <c r="BB22">
        <v>644</v>
      </c>
      <c r="BC22">
        <v>348</v>
      </c>
      <c r="BD22">
        <v>331</v>
      </c>
      <c r="BE22">
        <v>311</v>
      </c>
      <c r="BF22">
        <v>232</v>
      </c>
      <c r="BG22">
        <v>225</v>
      </c>
      <c r="BH22">
        <v>193</v>
      </c>
      <c r="BI22">
        <v>124</v>
      </c>
      <c r="BJ22">
        <v>101</v>
      </c>
      <c r="BK22">
        <v>112</v>
      </c>
      <c r="BL22">
        <v>67</v>
      </c>
      <c r="BM22">
        <v>84</v>
      </c>
      <c r="BN22">
        <v>9</v>
      </c>
      <c r="BO22">
        <v>56</v>
      </c>
      <c r="BP22">
        <v>62</v>
      </c>
      <c r="BQ22">
        <v>45</v>
      </c>
      <c r="BR22" s="30">
        <v>49</v>
      </c>
      <c r="BS22" s="30">
        <v>35</v>
      </c>
      <c r="BT22" s="30">
        <v>23</v>
      </c>
      <c r="BU22" s="30">
        <v>25</v>
      </c>
      <c r="BV22" s="30">
        <v>31</v>
      </c>
      <c r="BW22" s="30">
        <v>15</v>
      </c>
      <c r="BX22" s="30">
        <v>15</v>
      </c>
      <c r="BY22" s="30">
        <v>23</v>
      </c>
      <c r="BZ22" s="30">
        <v>17</v>
      </c>
    </row>
    <row r="23" spans="1:165" x14ac:dyDescent="0.25">
      <c r="A23">
        <f>+A26+1</f>
        <v>20</v>
      </c>
      <c r="B23" t="s">
        <v>1043</v>
      </c>
      <c r="C23" t="s">
        <v>1044</v>
      </c>
      <c r="D23" t="s">
        <v>1380</v>
      </c>
      <c r="G23" t="s">
        <v>2013</v>
      </c>
      <c r="H23" s="30">
        <f t="shared" si="0"/>
        <v>32529.591836734697</v>
      </c>
      <c r="I23" s="30"/>
      <c r="J23" s="29">
        <f t="shared" si="11"/>
        <v>769.97084548104954</v>
      </c>
      <c r="K23" s="29">
        <f t="shared" si="12"/>
        <v>2489.5043731778424</v>
      </c>
      <c r="L23" s="29">
        <f t="shared" si="13"/>
        <v>3748.8338192419824</v>
      </c>
      <c r="M23" s="29">
        <f t="shared" si="14"/>
        <v>6704.3731778425645</v>
      </c>
      <c r="N23" s="29">
        <f t="shared" si="15"/>
        <v>10948.542274052477</v>
      </c>
      <c r="O23" s="29">
        <f t="shared" si="16"/>
        <v>7868.367346938775</v>
      </c>
      <c r="P23" s="29">
        <f t="shared" si="17"/>
        <v>0</v>
      </c>
      <c r="Q23" s="29">
        <f t="shared" si="1"/>
        <v>0</v>
      </c>
      <c r="R23" s="29">
        <f t="shared" si="2"/>
        <v>0</v>
      </c>
      <c r="S23" s="29">
        <f t="shared" si="3"/>
        <v>0</v>
      </c>
      <c r="T23" s="29">
        <f t="shared" si="4"/>
        <v>0</v>
      </c>
      <c r="U23" s="29">
        <f t="shared" si="5"/>
        <v>0</v>
      </c>
      <c r="V23" s="29">
        <f t="shared" si="6"/>
        <v>0</v>
      </c>
      <c r="W23" s="29">
        <f t="shared" si="7"/>
        <v>0</v>
      </c>
      <c r="X23" s="29"/>
      <c r="Y23" s="29"/>
      <c r="Z23" s="29"/>
      <c r="AA23" s="29"/>
      <c r="AB23" s="29"/>
      <c r="AO23" s="29">
        <f>540/$C$81</f>
        <v>78.717201166180757</v>
      </c>
      <c r="AP23" s="29">
        <f>992/$C$81</f>
        <v>144.60641399416909</v>
      </c>
      <c r="AQ23" s="30">
        <f>1425/$C$81</f>
        <v>207.72594752186589</v>
      </c>
      <c r="AR23" s="30">
        <f>2325/$C$81</f>
        <v>338.92128279883383</v>
      </c>
      <c r="AS23" s="30">
        <f>3122/$C$81</f>
        <v>455.10204081632651</v>
      </c>
      <c r="AT23" s="30">
        <f>4365/$C$81</f>
        <v>636.29737609329447</v>
      </c>
      <c r="AU23" s="30">
        <f>4755/$C$81</f>
        <v>693.14868804664718</v>
      </c>
      <c r="AV23" s="30">
        <f>4836/$C$81</f>
        <v>704.95626822157431</v>
      </c>
      <c r="AW23" s="30">
        <f>5432/$C$81</f>
        <v>791.83673469387747</v>
      </c>
      <c r="AX23" s="30">
        <f>6188/$C$81</f>
        <v>902.0408163265306</v>
      </c>
      <c r="AY23" s="30">
        <f>6662/$C$81</f>
        <v>971.13702623906704</v>
      </c>
      <c r="AZ23" s="30">
        <f>7435/$C$81</f>
        <v>1083.8192419825073</v>
      </c>
      <c r="BA23" s="30">
        <f>8892/$C$81</f>
        <v>1296.2099125364432</v>
      </c>
      <c r="BB23" s="30">
        <f>10716/$C$81</f>
        <v>1562.0991253644313</v>
      </c>
      <c r="BC23" s="30">
        <f>12035/$C$81</f>
        <v>1754.3731778425656</v>
      </c>
      <c r="BD23" s="30">
        <f>14349/$C$81</f>
        <v>2091.690962099125</v>
      </c>
      <c r="BE23" s="30">
        <f>16390/$C$81</f>
        <v>2389.2128279883382</v>
      </c>
      <c r="BF23" s="30">
        <f>16976/$C$81</f>
        <v>2474.6355685131193</v>
      </c>
      <c r="BG23" s="30">
        <f>19640/$C$81</f>
        <v>2862.9737609329445</v>
      </c>
      <c r="BH23" s="30">
        <f>22101/C81</f>
        <v>3221.7201166180757</v>
      </c>
      <c r="BI23" s="30">
        <f>23912/C81</f>
        <v>3485.7142857142853</v>
      </c>
      <c r="BJ23" s="30">
        <f>30065/C81</f>
        <v>4382.6530612244896</v>
      </c>
      <c r="BR23" s="30"/>
      <c r="BS23" s="30"/>
      <c r="BT23" s="30"/>
      <c r="BU23" s="30"/>
      <c r="BV23" s="30"/>
      <c r="BW23" s="30"/>
      <c r="BX23" s="30"/>
      <c r="BY23" s="30"/>
      <c r="BZ23" s="30"/>
    </row>
    <row r="24" spans="1:165" x14ac:dyDescent="0.25">
      <c r="A24">
        <f>+A32+1</f>
        <v>30</v>
      </c>
      <c r="B24" t="s">
        <v>1368</v>
      </c>
      <c r="C24" t="s">
        <v>44</v>
      </c>
      <c r="D24" t="s">
        <v>1401</v>
      </c>
      <c r="H24" s="30">
        <f t="shared" ref="H24:H35" si="24">SUM(AO24:GL24)</f>
        <v>20663.11</v>
      </c>
      <c r="I24" s="30"/>
      <c r="J24" s="29">
        <f t="shared" ref="J24:J35" si="25">SUM(AO24:AR24)</f>
        <v>8690.11</v>
      </c>
      <c r="K24" s="29">
        <f t="shared" ref="K24:K35" si="26">SUM(AS24:AV24)</f>
        <v>5461</v>
      </c>
      <c r="L24" s="29">
        <f t="shared" ref="L24:L25" si="27">SUM(AW24:AZ24)</f>
        <v>5007</v>
      </c>
      <c r="M24" s="29">
        <f t="shared" ref="M24:M35" si="28">SUM(BA24:BD24)</f>
        <v>1388</v>
      </c>
      <c r="N24" s="29">
        <f t="shared" ref="N24:N35" si="29">SUM(BE24:BH24)</f>
        <v>117</v>
      </c>
      <c r="O24" s="29">
        <f t="shared" ref="O24:O27" si="30">SUM(BI24:BL24)</f>
        <v>0</v>
      </c>
      <c r="P24" s="29">
        <f t="shared" ref="P24:P27" si="31">SUM(BM24:BP24)</f>
        <v>0</v>
      </c>
      <c r="Q24" s="29">
        <f t="shared" ref="Q24:Q27" si="32">SUM(BQ24:BT24)</f>
        <v>0</v>
      </c>
      <c r="R24" s="29">
        <f t="shared" ref="R24:R27" si="33">SUM(BU24:BX24)</f>
        <v>0</v>
      </c>
      <c r="S24" s="29">
        <f t="shared" ref="S24:S27" si="34">SUM(BY24:CB24)</f>
        <v>0</v>
      </c>
      <c r="T24" s="29">
        <f t="shared" ref="T24:T27" si="35">SUM(CC24:CF24)</f>
        <v>0</v>
      </c>
      <c r="U24" s="29">
        <f t="shared" ref="U24:U27" si="36">SUM(CG24:CJ24)</f>
        <v>0</v>
      </c>
      <c r="V24" s="29">
        <f t="shared" ref="V24:V27" si="37">SUM(CK24:CN24)</f>
        <v>0</v>
      </c>
      <c r="W24" s="29">
        <f t="shared" ref="W24:W27" si="38">SUM(CO24:CR24)</f>
        <v>0</v>
      </c>
      <c r="X24" s="29"/>
      <c r="Y24" s="29"/>
      <c r="Z24" s="29"/>
      <c r="AA24" s="29"/>
      <c r="AB24" s="29"/>
      <c r="AO24" s="29">
        <v>139.435</v>
      </c>
      <c r="AP24" s="29">
        <v>2274.3490000000002</v>
      </c>
      <c r="AQ24" s="29">
        <v>3480.326</v>
      </c>
      <c r="AR24">
        <v>2796</v>
      </c>
      <c r="AS24">
        <v>1732</v>
      </c>
      <c r="AT24">
        <v>972</v>
      </c>
      <c r="AU24">
        <v>1291</v>
      </c>
      <c r="AV24">
        <v>1466</v>
      </c>
      <c r="AW24">
        <v>1547</v>
      </c>
      <c r="AX24">
        <v>1277</v>
      </c>
      <c r="AY24">
        <v>1358</v>
      </c>
      <c r="AZ24">
        <v>825</v>
      </c>
      <c r="BA24">
        <v>541</v>
      </c>
      <c r="BB24">
        <v>313</v>
      </c>
      <c r="BC24">
        <v>315</v>
      </c>
      <c r="BD24">
        <v>219</v>
      </c>
      <c r="BE24">
        <v>117</v>
      </c>
    </row>
    <row r="25" spans="1:165" ht="13" x14ac:dyDescent="0.3">
      <c r="A25">
        <f>+A30+1</f>
        <v>27</v>
      </c>
      <c r="B25" t="s">
        <v>1406</v>
      </c>
      <c r="C25" t="s">
        <v>17</v>
      </c>
      <c r="D25" t="s">
        <v>1378</v>
      </c>
      <c r="H25" s="30">
        <f t="shared" si="24"/>
        <v>37378</v>
      </c>
      <c r="I25" s="30"/>
      <c r="J25" s="29">
        <f t="shared" si="25"/>
        <v>655</v>
      </c>
      <c r="K25" s="29">
        <f t="shared" si="26"/>
        <v>1864</v>
      </c>
      <c r="L25" s="29">
        <f t="shared" si="27"/>
        <v>3305</v>
      </c>
      <c r="M25" s="29">
        <f t="shared" si="28"/>
        <v>5585</v>
      </c>
      <c r="N25" s="29">
        <f t="shared" si="29"/>
        <v>8411</v>
      </c>
      <c r="O25" s="29">
        <f t="shared" si="30"/>
        <v>13135</v>
      </c>
      <c r="P25" s="29">
        <f t="shared" si="31"/>
        <v>4423</v>
      </c>
      <c r="Q25" s="29">
        <f t="shared" si="32"/>
        <v>0</v>
      </c>
      <c r="R25" s="29">
        <f t="shared" si="33"/>
        <v>0</v>
      </c>
      <c r="S25" s="29">
        <f t="shared" si="34"/>
        <v>0</v>
      </c>
      <c r="T25" s="29">
        <f t="shared" si="35"/>
        <v>0</v>
      </c>
      <c r="U25" s="29">
        <f t="shared" si="36"/>
        <v>0</v>
      </c>
      <c r="V25" s="29">
        <f t="shared" si="37"/>
        <v>0</v>
      </c>
      <c r="W25" s="29">
        <f t="shared" si="38"/>
        <v>0</v>
      </c>
      <c r="X25" s="29"/>
      <c r="Y25" s="29"/>
      <c r="Z25" s="29"/>
      <c r="AA25" s="29"/>
      <c r="AB25" s="29"/>
      <c r="AO25" s="29">
        <v>48</v>
      </c>
      <c r="AP25" s="35">
        <v>91</v>
      </c>
      <c r="AQ25" s="29">
        <v>216</v>
      </c>
      <c r="AR25" s="32">
        <v>300</v>
      </c>
      <c r="AS25" s="30">
        <v>330</v>
      </c>
      <c r="AT25" s="30">
        <v>435</v>
      </c>
      <c r="AU25" s="30">
        <v>525</v>
      </c>
      <c r="AV25" s="30">
        <v>574</v>
      </c>
      <c r="AW25" s="30">
        <v>674</v>
      </c>
      <c r="AX25" s="30">
        <v>796</v>
      </c>
      <c r="AY25" s="30">
        <v>895</v>
      </c>
      <c r="AZ25" s="30">
        <v>940</v>
      </c>
      <c r="BA25" s="30">
        <v>1252</v>
      </c>
      <c r="BB25" s="30">
        <v>1397</v>
      </c>
      <c r="BC25" s="30">
        <v>1576</v>
      </c>
      <c r="BD25" s="30">
        <v>1360</v>
      </c>
      <c r="BE25" s="30">
        <v>1883</v>
      </c>
      <c r="BF25" s="30">
        <v>2126</v>
      </c>
      <c r="BG25" s="30">
        <v>2394</v>
      </c>
      <c r="BH25" s="30">
        <v>2008</v>
      </c>
      <c r="BI25" s="30">
        <v>2727</v>
      </c>
      <c r="BJ25" s="30">
        <v>3205</v>
      </c>
      <c r="BK25" s="30">
        <v>3778</v>
      </c>
      <c r="BL25" s="30">
        <v>3425</v>
      </c>
      <c r="BM25" s="30">
        <v>4423</v>
      </c>
    </row>
    <row r="26" spans="1:165" x14ac:dyDescent="0.25">
      <c r="A26">
        <f>+A35+1</f>
        <v>19</v>
      </c>
      <c r="B26" t="s">
        <v>644</v>
      </c>
      <c r="C26" t="s">
        <v>19</v>
      </c>
      <c r="D26" t="s">
        <v>1382</v>
      </c>
      <c r="E26">
        <v>2</v>
      </c>
      <c r="G26" t="s">
        <v>2028</v>
      </c>
      <c r="H26" s="30">
        <f>SUM(AO26:GL26)</f>
        <v>35447.599999999977</v>
      </c>
      <c r="I26" s="30"/>
      <c r="J26" s="29">
        <f>SUM(AO26:AR26)</f>
        <v>362</v>
      </c>
      <c r="K26" s="29">
        <f>SUM(AS26:AV26)</f>
        <v>954.6</v>
      </c>
      <c r="L26" s="29">
        <f>SUM(AW26:AZ26)</f>
        <v>1734.4</v>
      </c>
      <c r="M26" s="29">
        <f>SUM(BA26:BD26)</f>
        <v>2401</v>
      </c>
      <c r="N26" s="29">
        <f>SUM(BE26:BH26)</f>
        <v>2891.2999999999997</v>
      </c>
      <c r="O26" s="29">
        <f>SUM(BI26:BL26)</f>
        <v>3291.8999999999996</v>
      </c>
      <c r="P26" s="29">
        <f>SUM(BM26:BP26)</f>
        <v>3722.1</v>
      </c>
      <c r="Q26" s="29">
        <f>SUM(BQ26:BT26)</f>
        <v>4587.3</v>
      </c>
      <c r="R26" s="29">
        <f>SUM(BU26:BX26)</f>
        <v>5481.5999999999995</v>
      </c>
      <c r="S26" s="29">
        <f>SUM(BY26:CB26)</f>
        <v>3138.5</v>
      </c>
      <c r="T26" s="29">
        <f>SUM(CC26:CF26)</f>
        <v>1296.4000000000001</v>
      </c>
      <c r="U26" s="29">
        <f>SUM(CG26:CJ26)</f>
        <v>901.7</v>
      </c>
      <c r="V26" s="29">
        <f>SUM(CK26:CN26)</f>
        <v>876.5</v>
      </c>
      <c r="W26" s="29">
        <f>SUM(CO26:CR26)</f>
        <v>727.5</v>
      </c>
      <c r="X26" s="29">
        <f>SUM(CS26:CV26)</f>
        <v>707.8</v>
      </c>
      <c r="Y26" s="29">
        <f>SUM(CW26:CZ26)</f>
        <v>764.4</v>
      </c>
      <c r="Z26" s="29">
        <f>SUM(DA26:DD26)</f>
        <v>729.6</v>
      </c>
      <c r="AA26" s="29">
        <f>SUM(DE26:DH26)</f>
        <v>385.9</v>
      </c>
      <c r="AB26" s="29">
        <f>SUM(DI26:DL26)</f>
        <v>186.90000000000003</v>
      </c>
      <c r="AC26" s="29">
        <f>SUM(DM26:DP26)</f>
        <v>104.19999999999999</v>
      </c>
      <c r="AD26" s="29">
        <f>SUM(DQ26:DT26)</f>
        <v>150.20000000000002</v>
      </c>
      <c r="AE26" s="29">
        <f>SUM(DU26:DX26)</f>
        <v>51.800000000000004</v>
      </c>
      <c r="AF26" s="29">
        <f>SUM(DY26:EB26)</f>
        <v>0</v>
      </c>
      <c r="AG26" s="29">
        <f>SUM(EC26:EF26)</f>
        <v>0</v>
      </c>
      <c r="AH26" s="29">
        <f>SUM(EG26:EJ26)</f>
        <v>0</v>
      </c>
      <c r="AO26" s="29">
        <v>32.5</v>
      </c>
      <c r="AP26" s="29">
        <v>61.3</v>
      </c>
      <c r="AQ26" s="29">
        <v>106.8</v>
      </c>
      <c r="AR26" s="29">
        <v>161.4</v>
      </c>
      <c r="AS26" s="29">
        <v>182.8</v>
      </c>
      <c r="AT26" s="29">
        <v>228.8</v>
      </c>
      <c r="AU26" s="29">
        <v>233</v>
      </c>
      <c r="AV26" s="29">
        <v>310</v>
      </c>
      <c r="AW26" s="29">
        <v>349</v>
      </c>
      <c r="AX26" s="29">
        <v>424.1</v>
      </c>
      <c r="AY26" s="29">
        <v>441.8</v>
      </c>
      <c r="AZ26" s="29">
        <v>519.5</v>
      </c>
      <c r="BA26" s="29">
        <v>513.20000000000005</v>
      </c>
      <c r="BB26" s="29">
        <v>628.29999999999995</v>
      </c>
      <c r="BC26" s="29">
        <v>605.1</v>
      </c>
      <c r="BD26" s="29">
        <v>654.4</v>
      </c>
      <c r="BE26" s="29">
        <v>716.4</v>
      </c>
      <c r="BF26" s="29">
        <v>721.2</v>
      </c>
      <c r="BG26" s="29">
        <v>709.3</v>
      </c>
      <c r="BH26" s="29">
        <v>744.4</v>
      </c>
      <c r="BI26" s="29">
        <v>790.2</v>
      </c>
      <c r="BJ26" s="29">
        <v>830.8</v>
      </c>
      <c r="BK26" s="29">
        <v>803.2</v>
      </c>
      <c r="BL26" s="29">
        <v>867.7</v>
      </c>
      <c r="BM26" s="29">
        <v>825.3</v>
      </c>
      <c r="BN26" s="29">
        <v>984.6</v>
      </c>
      <c r="BO26" s="29">
        <v>908.8</v>
      </c>
      <c r="BP26" s="29">
        <v>1003.4</v>
      </c>
      <c r="BQ26" s="29">
        <v>1068.5999999999999</v>
      </c>
      <c r="BR26" s="29">
        <v>1180.7</v>
      </c>
      <c r="BS26" s="29">
        <v>1114.9000000000001</v>
      </c>
      <c r="BT26" s="29">
        <v>1223.0999999999999</v>
      </c>
      <c r="BU26" s="29">
        <v>1235.8</v>
      </c>
      <c r="BV26" s="29">
        <v>1420.4</v>
      </c>
      <c r="BW26" s="29">
        <v>1328.2</v>
      </c>
      <c r="BX26" s="29">
        <v>1497.2</v>
      </c>
      <c r="BY26" s="29">
        <v>1375.8</v>
      </c>
      <c r="BZ26" s="29">
        <v>883.2</v>
      </c>
      <c r="CA26" s="29">
        <v>478.2</v>
      </c>
      <c r="CB26" s="29">
        <v>401.3</v>
      </c>
      <c r="CC26" s="29">
        <v>368</v>
      </c>
      <c r="CD26" s="29">
        <v>367.3</v>
      </c>
      <c r="CE26" s="29">
        <v>287</v>
      </c>
      <c r="CF26" s="29">
        <v>274.10000000000002</v>
      </c>
      <c r="CG26" s="29">
        <v>242.9</v>
      </c>
      <c r="CH26" s="29">
        <v>223.6</v>
      </c>
      <c r="CI26" s="29">
        <v>198.7</v>
      </c>
      <c r="CJ26" s="29">
        <v>236.5</v>
      </c>
      <c r="CK26" s="29">
        <v>313.5</v>
      </c>
      <c r="CL26" s="29">
        <v>181.8</v>
      </c>
      <c r="CM26" s="29">
        <v>174.6</v>
      </c>
      <c r="CN26" s="29">
        <v>206.6</v>
      </c>
      <c r="CO26" s="29">
        <v>183.2</v>
      </c>
      <c r="CP26" s="29">
        <v>192.8</v>
      </c>
      <c r="CQ26" s="29">
        <v>169.6</v>
      </c>
      <c r="CR26" s="29">
        <v>181.9</v>
      </c>
      <c r="CS26" s="29">
        <v>172</v>
      </c>
      <c r="CT26" s="29">
        <v>184.5</v>
      </c>
      <c r="CU26" s="29">
        <v>164.1</v>
      </c>
      <c r="CV26" s="29">
        <v>187.2</v>
      </c>
      <c r="CW26" s="29">
        <v>178.6</v>
      </c>
      <c r="CX26" s="29">
        <f>725.4-CW26-CV26-CU26</f>
        <v>195.49999999999997</v>
      </c>
      <c r="CY26" s="29">
        <v>210.4</v>
      </c>
      <c r="CZ26" s="29">
        <v>179.9</v>
      </c>
      <c r="DA26" s="29">
        <v>186.6</v>
      </c>
      <c r="DB26" s="29">
        <f>42.1+725.6-DA26-CZ26-CY26</f>
        <v>190.80000000000004</v>
      </c>
      <c r="DC26" s="29">
        <v>176.6</v>
      </c>
      <c r="DD26" s="29">
        <v>175.6</v>
      </c>
      <c r="DE26" s="29">
        <v>132</v>
      </c>
      <c r="DF26" s="29">
        <f>581.5-DE26-DD26-DC26</f>
        <v>97.299999999999983</v>
      </c>
      <c r="DG26" s="29">
        <v>81.099999999999994</v>
      </c>
      <c r="DH26" s="29">
        <v>75.5</v>
      </c>
      <c r="DI26" s="29">
        <v>62.7</v>
      </c>
      <c r="DJ26" s="29">
        <f>283.3-DI26-DH26-DG26</f>
        <v>64.000000000000028</v>
      </c>
      <c r="DK26" s="29">
        <v>60.2</v>
      </c>
      <c r="DL26" s="29"/>
      <c r="DM26" s="29"/>
      <c r="DN26" s="29"/>
      <c r="DO26" s="29">
        <v>54.4</v>
      </c>
      <c r="DP26" s="29">
        <v>49.8</v>
      </c>
      <c r="DQ26" s="29">
        <v>44.7</v>
      </c>
      <c r="DR26" s="29">
        <v>50.2</v>
      </c>
      <c r="DS26" s="29">
        <v>31.2</v>
      </c>
      <c r="DT26" s="29">
        <v>24.1</v>
      </c>
      <c r="DU26" s="29">
        <v>4.0999999999999996</v>
      </c>
      <c r="DV26" s="29">
        <v>3</v>
      </c>
      <c r="DW26" s="29">
        <v>44.7</v>
      </c>
    </row>
    <row r="27" spans="1:165" x14ac:dyDescent="0.25">
      <c r="A27">
        <f>+A49+1</f>
        <v>36</v>
      </c>
      <c r="B27" t="s">
        <v>1680</v>
      </c>
      <c r="C27" t="s">
        <v>62</v>
      </c>
      <c r="D27" t="s">
        <v>1378</v>
      </c>
      <c r="E27">
        <v>1</v>
      </c>
      <c r="H27" s="30">
        <f t="shared" si="24"/>
        <v>3777.482</v>
      </c>
      <c r="I27" s="30"/>
      <c r="J27" s="29">
        <f t="shared" si="25"/>
        <v>400.721</v>
      </c>
      <c r="K27" s="29">
        <f t="shared" si="26"/>
        <v>1190.761</v>
      </c>
      <c r="L27" s="29">
        <f t="shared" ref="L27" si="39">SUM(AW27:AZ27)</f>
        <v>2186</v>
      </c>
      <c r="M27" s="29">
        <f t="shared" si="28"/>
        <v>0</v>
      </c>
      <c r="N27" s="29">
        <f t="shared" ref="N27" si="40">SUM(BE27:BH27)</f>
        <v>0</v>
      </c>
      <c r="O27" s="29">
        <f t="shared" si="30"/>
        <v>0</v>
      </c>
      <c r="P27" s="29">
        <f t="shared" si="31"/>
        <v>0</v>
      </c>
      <c r="Q27" s="29">
        <f t="shared" si="32"/>
        <v>0</v>
      </c>
      <c r="R27" s="29">
        <f t="shared" si="33"/>
        <v>0</v>
      </c>
      <c r="S27" s="29">
        <f t="shared" si="34"/>
        <v>0</v>
      </c>
      <c r="T27" s="29">
        <f t="shared" si="35"/>
        <v>0</v>
      </c>
      <c r="U27" s="29">
        <f t="shared" si="36"/>
        <v>0</v>
      </c>
      <c r="V27" s="29">
        <f t="shared" si="37"/>
        <v>0</v>
      </c>
      <c r="W27" s="29">
        <f t="shared" si="38"/>
        <v>0</v>
      </c>
      <c r="X27" s="29"/>
      <c r="Y27" s="29"/>
      <c r="Z27" s="29"/>
      <c r="AA27" s="29"/>
      <c r="AB27" s="29"/>
      <c r="AO27" s="29">
        <v>21.163</v>
      </c>
      <c r="AP27" s="29">
        <v>74.832999999999998</v>
      </c>
      <c r="AQ27" s="29">
        <v>131.32900000000001</v>
      </c>
      <c r="AR27" s="29">
        <v>173.39599999999999</v>
      </c>
      <c r="AS27" s="29">
        <v>218</v>
      </c>
      <c r="AT27" s="29">
        <v>269.31299999999999</v>
      </c>
      <c r="AU27" s="29">
        <v>329.09699999999998</v>
      </c>
      <c r="AV27" s="29">
        <v>374.351</v>
      </c>
      <c r="AW27" s="29">
        <f>876-477.635</f>
        <v>398.36500000000001</v>
      </c>
      <c r="AX27" s="29">
        <f>876-AW27</f>
        <v>477.63499999999999</v>
      </c>
      <c r="AY27" s="29">
        <v>573</v>
      </c>
      <c r="AZ27" s="29">
        <v>737</v>
      </c>
    </row>
    <row r="28" spans="1:165" x14ac:dyDescent="0.25">
      <c r="A28">
        <f>+A17+1</f>
        <v>23</v>
      </c>
      <c r="B28" t="s">
        <v>1307</v>
      </c>
      <c r="C28" t="s">
        <v>28</v>
      </c>
      <c r="D28" t="s">
        <v>1378</v>
      </c>
      <c r="F28" t="s">
        <v>1304</v>
      </c>
      <c r="H28" s="30">
        <f t="shared" si="24"/>
        <v>31129</v>
      </c>
      <c r="I28" s="30"/>
      <c r="J28" s="29">
        <f t="shared" si="25"/>
        <v>209</v>
      </c>
      <c r="K28" s="29">
        <f t="shared" si="26"/>
        <v>1128</v>
      </c>
      <c r="L28" s="29">
        <f t="shared" ref="L28:L35" si="41">SUM(AW28:AZ28)</f>
        <v>2071</v>
      </c>
      <c r="M28" s="29">
        <f t="shared" si="28"/>
        <v>2837</v>
      </c>
      <c r="N28" s="29">
        <f t="shared" si="29"/>
        <v>3551</v>
      </c>
      <c r="O28" s="29">
        <f t="shared" ref="O28:O35" si="42">SUM(BI28:BL28)</f>
        <v>3995</v>
      </c>
      <c r="P28" s="29">
        <f t="shared" ref="P28:P35" si="43">SUM(BM28:BP28)</f>
        <v>4718</v>
      </c>
      <c r="Q28" s="29">
        <f t="shared" ref="Q28:Q35" si="44">SUM(BQ28:BT28)</f>
        <v>4788</v>
      </c>
      <c r="R28" s="29">
        <f t="shared" ref="R28:R35" si="45">SUM(BU28:BX28)</f>
        <v>4980</v>
      </c>
      <c r="S28" s="29">
        <f t="shared" ref="S28:S35" si="46">SUM(BY28:CB28)</f>
        <v>2852</v>
      </c>
      <c r="T28" s="29">
        <f t="shared" ref="T28:T35" si="47">SUM(CC28:CF28)</f>
        <v>0</v>
      </c>
      <c r="U28" s="29">
        <f t="shared" ref="U28:U35" si="48">SUM(CG28:CJ28)</f>
        <v>0</v>
      </c>
      <c r="V28" s="29">
        <f t="shared" ref="V28:V35" si="49">SUM(CK28:CN28)</f>
        <v>0</v>
      </c>
      <c r="W28" s="29">
        <f t="shared" ref="W28:W35" si="50">SUM(CO28:CR28)</f>
        <v>0</v>
      </c>
      <c r="X28" s="29"/>
      <c r="Y28" s="29"/>
      <c r="Z28" s="29"/>
      <c r="AA28" s="29"/>
      <c r="AB28" s="29"/>
      <c r="AO28" s="29" t="s">
        <v>1305</v>
      </c>
      <c r="AP28" s="29" t="s">
        <v>1306</v>
      </c>
      <c r="AQ28" s="29">
        <v>88</v>
      </c>
      <c r="AR28">
        <v>121</v>
      </c>
      <c r="AS28">
        <v>176</v>
      </c>
      <c r="AT28">
        <v>260</v>
      </c>
      <c r="AU28">
        <v>301</v>
      </c>
      <c r="AV28">
        <v>391</v>
      </c>
      <c r="AW28">
        <v>410</v>
      </c>
      <c r="AX28">
        <v>490</v>
      </c>
      <c r="AY28">
        <v>556</v>
      </c>
      <c r="AZ28">
        <v>615</v>
      </c>
      <c r="BA28">
        <v>580</v>
      </c>
      <c r="BB28">
        <v>701</v>
      </c>
      <c r="BC28">
        <v>750</v>
      </c>
      <c r="BD28">
        <v>806</v>
      </c>
      <c r="BE28">
        <v>791</v>
      </c>
      <c r="BF28">
        <v>858</v>
      </c>
      <c r="BG28">
        <v>937</v>
      </c>
      <c r="BH28">
        <v>965</v>
      </c>
      <c r="BI28">
        <v>930</v>
      </c>
      <c r="BJ28">
        <v>944</v>
      </c>
      <c r="BK28">
        <v>1012</v>
      </c>
      <c r="BL28">
        <v>1109</v>
      </c>
      <c r="BM28">
        <v>1053</v>
      </c>
      <c r="BN28">
        <v>1175</v>
      </c>
      <c r="BO28">
        <v>1247</v>
      </c>
      <c r="BP28">
        <v>1243</v>
      </c>
      <c r="BQ28">
        <v>1159</v>
      </c>
      <c r="BR28" s="30">
        <v>1275</v>
      </c>
      <c r="BS28" s="30">
        <v>1274</v>
      </c>
      <c r="BT28" s="30">
        <v>1080</v>
      </c>
      <c r="BU28" s="30">
        <v>1076</v>
      </c>
      <c r="BV28" s="30">
        <v>1272</v>
      </c>
      <c r="BW28" s="30">
        <v>1329</v>
      </c>
      <c r="BX28" s="30">
        <v>1303</v>
      </c>
      <c r="BY28" s="30">
        <v>1326</v>
      </c>
      <c r="BZ28" s="30">
        <v>1526</v>
      </c>
    </row>
    <row r="29" spans="1:165" x14ac:dyDescent="0.25">
      <c r="A29">
        <f>+A44+1</f>
        <v>33</v>
      </c>
      <c r="B29" t="s">
        <v>1407</v>
      </c>
      <c r="C29" t="s">
        <v>17</v>
      </c>
      <c r="D29" t="s">
        <v>1378</v>
      </c>
      <c r="G29" t="s">
        <v>2018</v>
      </c>
      <c r="H29" s="30">
        <f t="shared" si="24"/>
        <v>11443</v>
      </c>
      <c r="I29" s="30"/>
      <c r="J29" s="29">
        <f t="shared" si="25"/>
        <v>282</v>
      </c>
      <c r="K29" s="29">
        <f t="shared" si="26"/>
        <v>1177</v>
      </c>
      <c r="L29" s="29">
        <f t="shared" si="41"/>
        <v>2027</v>
      </c>
      <c r="M29" s="29">
        <f t="shared" si="28"/>
        <v>3069</v>
      </c>
      <c r="N29" s="29">
        <f t="shared" si="29"/>
        <v>4888</v>
      </c>
      <c r="O29" s="29">
        <f t="shared" si="42"/>
        <v>0</v>
      </c>
      <c r="P29" s="29">
        <f t="shared" si="43"/>
        <v>0</v>
      </c>
      <c r="Q29" s="29">
        <f t="shared" si="44"/>
        <v>0</v>
      </c>
      <c r="R29" s="29">
        <f t="shared" si="45"/>
        <v>0</v>
      </c>
      <c r="S29" s="29">
        <f t="shared" si="46"/>
        <v>0</v>
      </c>
      <c r="T29" s="29">
        <f t="shared" si="47"/>
        <v>0</v>
      </c>
      <c r="U29" s="29">
        <f t="shared" si="48"/>
        <v>0</v>
      </c>
      <c r="V29" s="29">
        <f t="shared" si="49"/>
        <v>0</v>
      </c>
      <c r="W29" s="29">
        <f t="shared" si="50"/>
        <v>0</v>
      </c>
      <c r="X29" s="29"/>
      <c r="Y29" s="29"/>
      <c r="Z29" s="29"/>
      <c r="AA29" s="29"/>
      <c r="AB29" s="29"/>
      <c r="AO29" s="29">
        <v>14</v>
      </c>
      <c r="AP29" s="29">
        <v>33</v>
      </c>
      <c r="AQ29" s="29">
        <v>86</v>
      </c>
      <c r="AR29" s="29">
        <v>149</v>
      </c>
      <c r="AS29" s="29">
        <v>215</v>
      </c>
      <c r="AT29" s="29">
        <v>281</v>
      </c>
      <c r="AU29" s="29">
        <v>303</v>
      </c>
      <c r="AV29" s="29">
        <v>378</v>
      </c>
      <c r="AW29" s="29">
        <v>453</v>
      </c>
      <c r="AX29" s="29">
        <v>517</v>
      </c>
      <c r="AY29" s="29">
        <v>465</v>
      </c>
      <c r="AZ29" s="29">
        <v>592</v>
      </c>
      <c r="BA29" s="29">
        <v>695</v>
      </c>
      <c r="BB29" s="29">
        <v>770</v>
      </c>
      <c r="BC29" s="29">
        <v>686</v>
      </c>
      <c r="BD29" s="29">
        <v>918</v>
      </c>
      <c r="BE29" s="29">
        <v>1110</v>
      </c>
      <c r="BF29" s="29">
        <v>1255</v>
      </c>
      <c r="BG29" s="29">
        <v>1093</v>
      </c>
      <c r="BH29" s="29">
        <v>1430</v>
      </c>
      <c r="BI29" s="29"/>
      <c r="BJ29" s="29"/>
    </row>
    <row r="30" spans="1:165" ht="13" x14ac:dyDescent="0.3">
      <c r="A30">
        <f>+A31+1</f>
        <v>26</v>
      </c>
      <c r="B30" t="s">
        <v>646</v>
      </c>
      <c r="C30" t="s">
        <v>14</v>
      </c>
      <c r="D30" t="s">
        <v>1376</v>
      </c>
      <c r="E30">
        <v>1</v>
      </c>
      <c r="H30" s="30">
        <f t="shared" si="24"/>
        <v>25264.5</v>
      </c>
      <c r="I30" s="30"/>
      <c r="J30" s="29">
        <f t="shared" si="25"/>
        <v>297.5</v>
      </c>
      <c r="K30" s="29">
        <f t="shared" si="26"/>
        <v>961</v>
      </c>
      <c r="L30" s="29">
        <f t="shared" si="41"/>
        <v>1698</v>
      </c>
      <c r="M30" s="29">
        <f t="shared" si="28"/>
        <v>2237</v>
      </c>
      <c r="N30" s="29">
        <f t="shared" si="29"/>
        <v>2231</v>
      </c>
      <c r="O30" s="29">
        <f t="shared" si="42"/>
        <v>2260</v>
      </c>
      <c r="P30" s="29">
        <f t="shared" si="43"/>
        <v>2505</v>
      </c>
      <c r="Q30" s="29">
        <f t="shared" si="44"/>
        <v>3498</v>
      </c>
      <c r="R30" s="29">
        <f t="shared" si="45"/>
        <v>2795</v>
      </c>
      <c r="S30" s="29">
        <f t="shared" si="46"/>
        <v>2470</v>
      </c>
      <c r="T30" s="29">
        <f t="shared" si="47"/>
        <v>2297</v>
      </c>
      <c r="U30" s="29">
        <f t="shared" si="48"/>
        <v>1770</v>
      </c>
      <c r="V30" s="29">
        <f t="shared" si="49"/>
        <v>245</v>
      </c>
      <c r="W30" s="29">
        <f t="shared" si="50"/>
        <v>0</v>
      </c>
      <c r="X30" s="29"/>
      <c r="Y30" s="29"/>
      <c r="Z30" s="29"/>
      <c r="AA30" s="29"/>
      <c r="AB30" s="29"/>
      <c r="AO30" s="29">
        <v>5</v>
      </c>
      <c r="AP30" s="35">
        <f>AVERAGE(AO30,AQ30)</f>
        <v>50</v>
      </c>
      <c r="AQ30" s="29">
        <v>95</v>
      </c>
      <c r="AR30" s="32">
        <f>AVERAGE(AQ30,AS30)</f>
        <v>147.5</v>
      </c>
      <c r="AS30">
        <v>200</v>
      </c>
      <c r="AT30">
        <v>232</v>
      </c>
      <c r="AU30">
        <v>265</v>
      </c>
      <c r="AV30">
        <v>264</v>
      </c>
      <c r="AW30">
        <v>344</v>
      </c>
      <c r="AX30">
        <v>395</v>
      </c>
      <c r="AY30">
        <v>464</v>
      </c>
      <c r="AZ30">
        <v>495</v>
      </c>
      <c r="BA30">
        <v>512</v>
      </c>
      <c r="BB30">
        <v>562</v>
      </c>
      <c r="BC30">
        <v>568</v>
      </c>
      <c r="BD30">
        <v>595</v>
      </c>
      <c r="BE30">
        <v>556</v>
      </c>
      <c r="BF30">
        <v>546</v>
      </c>
      <c r="BG30">
        <v>548</v>
      </c>
      <c r="BH30">
        <v>581</v>
      </c>
      <c r="BI30">
        <v>558</v>
      </c>
      <c r="BJ30">
        <v>601</v>
      </c>
      <c r="BK30">
        <v>582</v>
      </c>
      <c r="BL30">
        <v>519</v>
      </c>
      <c r="BM30">
        <v>523</v>
      </c>
      <c r="BN30">
        <v>558</v>
      </c>
      <c r="BO30">
        <v>669</v>
      </c>
      <c r="BP30">
        <v>755</v>
      </c>
      <c r="BQ30">
        <v>845</v>
      </c>
      <c r="BR30">
        <v>909</v>
      </c>
      <c r="BS30">
        <v>958</v>
      </c>
      <c r="BT30">
        <v>786</v>
      </c>
      <c r="BU30">
        <v>679</v>
      </c>
      <c r="BV30">
        <v>698</v>
      </c>
      <c r="BW30">
        <v>741</v>
      </c>
      <c r="BX30">
        <v>677</v>
      </c>
      <c r="BY30">
        <v>690</v>
      </c>
      <c r="BZ30">
        <v>568</v>
      </c>
      <c r="CA30">
        <v>590</v>
      </c>
      <c r="CB30">
        <v>622</v>
      </c>
      <c r="CC30">
        <v>638</v>
      </c>
      <c r="CD30">
        <v>563</v>
      </c>
      <c r="CE30">
        <v>548</v>
      </c>
      <c r="CF30">
        <v>548</v>
      </c>
      <c r="CG30">
        <v>539</v>
      </c>
      <c r="CH30">
        <v>505</v>
      </c>
      <c r="CI30">
        <v>456</v>
      </c>
      <c r="CJ30">
        <v>270</v>
      </c>
      <c r="CK30">
        <v>245</v>
      </c>
    </row>
    <row r="31" spans="1:165" x14ac:dyDescent="0.25">
      <c r="A31">
        <f>+A36+1</f>
        <v>25</v>
      </c>
      <c r="B31" t="s">
        <v>1367</v>
      </c>
      <c r="C31" t="s">
        <v>44</v>
      </c>
      <c r="D31" t="s">
        <v>1379</v>
      </c>
      <c r="H31" s="30">
        <f>SUM(AO31:GL31)</f>
        <v>25283</v>
      </c>
      <c r="I31" s="30"/>
      <c r="J31" s="29">
        <f>SUM(AO31:AR31)</f>
        <v>966</v>
      </c>
      <c r="K31" s="29">
        <f>SUM(AS31:AV31)</f>
        <v>3177</v>
      </c>
      <c r="L31" s="29">
        <f>SUM(AW31:AZ31)</f>
        <v>4478</v>
      </c>
      <c r="M31" s="29">
        <f>SUM(BA31:BD31)</f>
        <v>4179</v>
      </c>
      <c r="N31" s="29">
        <f>SUM(BE31:BH31)</f>
        <v>3444</v>
      </c>
      <c r="O31" s="29">
        <f>SUM(BI31:BL31)</f>
        <v>2975</v>
      </c>
      <c r="P31" s="29">
        <f>SUM(BM31:BP31)</f>
        <v>2520</v>
      </c>
      <c r="Q31" s="29">
        <f>SUM(BQ31:BT31)</f>
        <v>2184</v>
      </c>
      <c r="R31" s="29">
        <f>SUM(BU31:BX31)</f>
        <v>1360</v>
      </c>
      <c r="S31" s="29">
        <f>SUM(BY31:CB31)</f>
        <v>0</v>
      </c>
      <c r="T31" s="29">
        <f>SUM(CC31:CF31)</f>
        <v>0</v>
      </c>
      <c r="U31" s="29">
        <f>SUM(CG31:CJ31)</f>
        <v>0</v>
      </c>
      <c r="V31" s="29">
        <f>SUM(CK31:CN31)</f>
        <v>0</v>
      </c>
      <c r="W31" s="29">
        <f>SUM(CO31:CR31)</f>
        <v>0</v>
      </c>
      <c r="X31" s="29"/>
      <c r="Y31" s="29"/>
      <c r="Z31" s="29"/>
      <c r="AA31" s="29"/>
      <c r="AB31" s="29"/>
      <c r="AO31" s="29">
        <v>45</v>
      </c>
      <c r="AP31" s="29">
        <v>158</v>
      </c>
      <c r="AQ31" s="29">
        <v>302</v>
      </c>
      <c r="AR31" s="30">
        <v>461</v>
      </c>
      <c r="AS31" s="30">
        <v>563</v>
      </c>
      <c r="AT31" s="30">
        <v>769</v>
      </c>
      <c r="AU31" s="30">
        <v>857</v>
      </c>
      <c r="AV31" s="30">
        <v>988</v>
      </c>
      <c r="AW31" s="30">
        <v>1060</v>
      </c>
      <c r="AX31">
        <v>1082</v>
      </c>
      <c r="AY31">
        <v>1160</v>
      </c>
      <c r="AZ31">
        <v>1176</v>
      </c>
      <c r="BA31">
        <v>1206</v>
      </c>
      <c r="BB31">
        <v>1015</v>
      </c>
      <c r="BC31">
        <v>980</v>
      </c>
      <c r="BD31">
        <v>978</v>
      </c>
      <c r="BE31">
        <v>958</v>
      </c>
      <c r="BF31">
        <v>824</v>
      </c>
      <c r="BG31">
        <v>816</v>
      </c>
      <c r="BH31">
        <v>846</v>
      </c>
      <c r="BI31">
        <v>852</v>
      </c>
      <c r="BJ31">
        <v>673</v>
      </c>
      <c r="BK31">
        <v>706</v>
      </c>
      <c r="BL31">
        <v>744</v>
      </c>
      <c r="BM31">
        <v>756</v>
      </c>
      <c r="BN31">
        <v>582</v>
      </c>
      <c r="BO31">
        <v>582</v>
      </c>
      <c r="BP31">
        <v>600</v>
      </c>
      <c r="BQ31">
        <v>640</v>
      </c>
      <c r="BR31" s="30">
        <v>501</v>
      </c>
      <c r="BS31" s="30">
        <v>540</v>
      </c>
      <c r="BT31" s="30">
        <v>503</v>
      </c>
      <c r="BU31" s="30">
        <v>517</v>
      </c>
      <c r="BV31" s="30">
        <v>403</v>
      </c>
      <c r="BW31" s="30">
        <v>440</v>
      </c>
      <c r="BX31" s="30"/>
      <c r="BY31" s="30"/>
      <c r="BZ31" s="30"/>
    </row>
    <row r="32" spans="1:165" x14ac:dyDescent="0.25">
      <c r="A32">
        <f>+A39+1</f>
        <v>29</v>
      </c>
      <c r="B32" t="s">
        <v>647</v>
      </c>
      <c r="C32" t="s">
        <v>14</v>
      </c>
      <c r="D32" t="s">
        <v>1376</v>
      </c>
      <c r="E32">
        <v>1</v>
      </c>
      <c r="G32" t="s">
        <v>2029</v>
      </c>
      <c r="H32" s="30">
        <f t="shared" si="24"/>
        <v>23168</v>
      </c>
      <c r="I32" s="30"/>
      <c r="J32" s="29">
        <f t="shared" si="25"/>
        <v>200</v>
      </c>
      <c r="K32" s="29">
        <f t="shared" si="26"/>
        <v>689</v>
      </c>
      <c r="L32" s="29">
        <f t="shared" si="41"/>
        <v>1251</v>
      </c>
      <c r="M32" s="29">
        <f t="shared" si="28"/>
        <v>1893</v>
      </c>
      <c r="N32" s="29">
        <f t="shared" si="29"/>
        <v>2615</v>
      </c>
      <c r="O32" s="29">
        <f t="shared" si="42"/>
        <v>3411</v>
      </c>
      <c r="P32" s="29">
        <f t="shared" si="43"/>
        <v>4128</v>
      </c>
      <c r="Q32" s="29">
        <f t="shared" si="44"/>
        <v>4369</v>
      </c>
      <c r="R32" s="29">
        <f t="shared" si="45"/>
        <v>3785</v>
      </c>
      <c r="S32" s="29">
        <f t="shared" si="46"/>
        <v>827</v>
      </c>
      <c r="T32" s="29">
        <f t="shared" si="47"/>
        <v>0</v>
      </c>
      <c r="U32" s="29">
        <f t="shared" si="48"/>
        <v>0</v>
      </c>
      <c r="V32" s="29">
        <f t="shared" si="49"/>
        <v>0</v>
      </c>
      <c r="W32" s="29">
        <f t="shared" si="50"/>
        <v>0</v>
      </c>
      <c r="X32" s="29"/>
      <c r="Y32" s="29"/>
      <c r="Z32" s="29"/>
      <c r="AA32" s="29"/>
      <c r="AB32" s="29"/>
      <c r="AO32" s="29">
        <v>10</v>
      </c>
      <c r="AP32" s="29">
        <v>42</v>
      </c>
      <c r="AQ32" s="29">
        <v>56</v>
      </c>
      <c r="AR32">
        <v>92</v>
      </c>
      <c r="AS32">
        <v>116</v>
      </c>
      <c r="AT32">
        <v>154</v>
      </c>
      <c r="AU32">
        <v>184</v>
      </c>
      <c r="AV32">
        <v>235</v>
      </c>
      <c r="AW32">
        <v>261</v>
      </c>
      <c r="AX32">
        <v>295</v>
      </c>
      <c r="AY32">
        <v>349</v>
      </c>
      <c r="AZ32">
        <v>346</v>
      </c>
      <c r="BA32">
        <v>409</v>
      </c>
      <c r="BB32">
        <v>450</v>
      </c>
      <c r="BC32">
        <v>512</v>
      </c>
      <c r="BD32">
        <v>522</v>
      </c>
      <c r="BE32">
        <v>587</v>
      </c>
      <c r="BF32">
        <v>620</v>
      </c>
      <c r="BG32">
        <v>705</v>
      </c>
      <c r="BH32">
        <v>703</v>
      </c>
      <c r="BI32">
        <v>784</v>
      </c>
      <c r="BJ32">
        <v>831</v>
      </c>
      <c r="BK32">
        <v>921</v>
      </c>
      <c r="BL32">
        <v>875</v>
      </c>
      <c r="BM32">
        <v>1031</v>
      </c>
      <c r="BN32">
        <v>949</v>
      </c>
      <c r="BO32">
        <v>1031</v>
      </c>
      <c r="BP32">
        <v>1117</v>
      </c>
      <c r="BQ32">
        <v>1125</v>
      </c>
      <c r="BR32">
        <v>1116</v>
      </c>
      <c r="BS32">
        <v>1066</v>
      </c>
      <c r="BT32">
        <v>1062</v>
      </c>
      <c r="BU32">
        <v>1038</v>
      </c>
      <c r="BV32">
        <v>970</v>
      </c>
      <c r="BW32">
        <v>911</v>
      </c>
      <c r="BX32">
        <v>866</v>
      </c>
      <c r="BY32">
        <v>827</v>
      </c>
    </row>
    <row r="33" spans="1:133" x14ac:dyDescent="0.25">
      <c r="A33">
        <f>+A24+1</f>
        <v>31</v>
      </c>
      <c r="B33" t="s">
        <v>657</v>
      </c>
      <c r="C33" t="s">
        <v>26</v>
      </c>
      <c r="D33" t="s">
        <v>1379</v>
      </c>
      <c r="H33" s="30">
        <f t="shared" si="24"/>
        <v>16856</v>
      </c>
      <c r="I33" s="30"/>
      <c r="J33" s="29">
        <f t="shared" si="25"/>
        <v>348</v>
      </c>
      <c r="K33" s="29">
        <f t="shared" si="26"/>
        <v>751</v>
      </c>
      <c r="L33" s="29">
        <f t="shared" si="41"/>
        <v>1090</v>
      </c>
      <c r="M33" s="29">
        <f t="shared" si="28"/>
        <v>1359</v>
      </c>
      <c r="N33" s="29">
        <f t="shared" si="29"/>
        <v>1515</v>
      </c>
      <c r="O33" s="29">
        <f t="shared" si="42"/>
        <v>1643</v>
      </c>
      <c r="P33" s="29">
        <f t="shared" si="43"/>
        <v>1673</v>
      </c>
      <c r="Q33" s="29">
        <f t="shared" si="44"/>
        <v>1511</v>
      </c>
      <c r="R33" s="29">
        <f t="shared" si="45"/>
        <v>1387</v>
      </c>
      <c r="S33" s="29">
        <f t="shared" si="46"/>
        <v>1205</v>
      </c>
      <c r="T33" s="29">
        <f t="shared" si="47"/>
        <v>1141</v>
      </c>
      <c r="U33" s="29">
        <f t="shared" si="48"/>
        <v>975</v>
      </c>
      <c r="V33" s="29">
        <f t="shared" si="49"/>
        <v>857</v>
      </c>
      <c r="W33" s="29">
        <f t="shared" si="50"/>
        <v>768</v>
      </c>
      <c r="X33" s="29"/>
      <c r="Y33" s="29"/>
      <c r="Z33" s="29"/>
      <c r="AA33" s="29"/>
      <c r="AB33" s="29"/>
      <c r="AO33" s="29">
        <v>47</v>
      </c>
      <c r="AP33" s="29">
        <v>77</v>
      </c>
      <c r="AQ33" s="29">
        <v>107</v>
      </c>
      <c r="AR33">
        <v>117</v>
      </c>
      <c r="AS33">
        <v>148</v>
      </c>
      <c r="AT33">
        <v>172</v>
      </c>
      <c r="AU33">
        <v>197</v>
      </c>
      <c r="AV33">
        <v>234</v>
      </c>
      <c r="AW33">
        <v>232</v>
      </c>
      <c r="AX33">
        <v>267</v>
      </c>
      <c r="AY33">
        <v>278</v>
      </c>
      <c r="AZ33">
        <v>313</v>
      </c>
      <c r="BA33">
        <v>292</v>
      </c>
      <c r="BB33">
        <v>337</v>
      </c>
      <c r="BC33">
        <v>343</v>
      </c>
      <c r="BD33">
        <v>387</v>
      </c>
      <c r="BE33">
        <v>337</v>
      </c>
      <c r="BF33">
        <v>398</v>
      </c>
      <c r="BG33">
        <v>399</v>
      </c>
      <c r="BH33">
        <v>381</v>
      </c>
      <c r="BI33">
        <v>362</v>
      </c>
      <c r="BJ33">
        <v>412</v>
      </c>
      <c r="BK33">
        <v>427</v>
      </c>
      <c r="BL33">
        <v>442</v>
      </c>
      <c r="BM33">
        <v>390</v>
      </c>
      <c r="BN33">
        <v>453</v>
      </c>
      <c r="BO33">
        <v>412</v>
      </c>
      <c r="BP33">
        <v>418</v>
      </c>
      <c r="BQ33">
        <v>385</v>
      </c>
      <c r="BR33">
        <v>375</v>
      </c>
      <c r="BS33">
        <v>377</v>
      </c>
      <c r="BT33">
        <v>374</v>
      </c>
      <c r="BU33">
        <v>340</v>
      </c>
      <c r="BV33">
        <v>338</v>
      </c>
      <c r="BW33">
        <v>372</v>
      </c>
      <c r="BX33">
        <v>337</v>
      </c>
      <c r="BY33">
        <v>305</v>
      </c>
      <c r="BZ33">
        <v>282</v>
      </c>
      <c r="CA33">
        <v>310</v>
      </c>
      <c r="CB33">
        <v>308</v>
      </c>
      <c r="CC33">
        <v>281</v>
      </c>
      <c r="CD33">
        <v>305</v>
      </c>
      <c r="CE33">
        <v>275</v>
      </c>
      <c r="CF33">
        <v>280</v>
      </c>
      <c r="CG33">
        <v>255</v>
      </c>
      <c r="CH33">
        <v>247</v>
      </c>
      <c r="CI33">
        <v>250</v>
      </c>
      <c r="CJ33">
        <v>223</v>
      </c>
      <c r="CK33">
        <v>245</v>
      </c>
      <c r="CL33">
        <v>196</v>
      </c>
      <c r="CM33">
        <v>205</v>
      </c>
      <c r="CN33">
        <v>211</v>
      </c>
      <c r="CO33">
        <v>209</v>
      </c>
      <c r="CP33">
        <v>192</v>
      </c>
      <c r="CQ33">
        <v>189</v>
      </c>
      <c r="CR33">
        <v>178</v>
      </c>
      <c r="CS33">
        <v>158</v>
      </c>
      <c r="CT33">
        <v>147</v>
      </c>
      <c r="CU33">
        <v>161</v>
      </c>
      <c r="CV33">
        <v>167</v>
      </c>
    </row>
    <row r="34" spans="1:133" x14ac:dyDescent="0.25">
      <c r="A34">
        <f>+A20+1</f>
        <v>17</v>
      </c>
      <c r="B34" t="s">
        <v>1400</v>
      </c>
      <c r="C34" t="s">
        <v>22</v>
      </c>
      <c r="D34" t="s">
        <v>1377</v>
      </c>
      <c r="E34">
        <v>1</v>
      </c>
      <c r="G34" t="s">
        <v>2027</v>
      </c>
      <c r="H34" s="30">
        <f t="shared" si="24"/>
        <v>34660</v>
      </c>
      <c r="I34" s="30"/>
      <c r="J34" s="29">
        <f t="shared" si="25"/>
        <v>963</v>
      </c>
      <c r="K34" s="29">
        <f t="shared" si="26"/>
        <v>1155</v>
      </c>
      <c r="L34" s="29">
        <f t="shared" si="41"/>
        <v>1393</v>
      </c>
      <c r="M34" s="29">
        <f t="shared" si="28"/>
        <v>1563</v>
      </c>
      <c r="N34" s="29">
        <f t="shared" si="29"/>
        <v>1788</v>
      </c>
      <c r="O34" s="29">
        <f t="shared" si="42"/>
        <v>1820</v>
      </c>
      <c r="P34" s="29">
        <f t="shared" si="43"/>
        <v>1699</v>
      </c>
      <c r="Q34" s="29">
        <f t="shared" si="44"/>
        <v>1597</v>
      </c>
      <c r="R34" s="29">
        <f t="shared" si="45"/>
        <v>1701</v>
      </c>
      <c r="S34" s="29">
        <f t="shared" si="46"/>
        <v>1790</v>
      </c>
      <c r="T34" s="29">
        <f t="shared" si="47"/>
        <v>1928</v>
      </c>
      <c r="U34" s="29">
        <f t="shared" si="48"/>
        <v>1917</v>
      </c>
      <c r="V34" s="29">
        <f t="shared" si="49"/>
        <v>1919</v>
      </c>
      <c r="W34" s="29">
        <f t="shared" si="50"/>
        <v>2007</v>
      </c>
      <c r="X34" s="29">
        <f>SUM(CS34:CV34)</f>
        <v>2016</v>
      </c>
      <c r="Y34" s="29">
        <f>SUM(CW34:CZ34)</f>
        <v>2130</v>
      </c>
      <c r="Z34" s="29">
        <f>SUM(DA34:DD34)</f>
        <v>1714</v>
      </c>
      <c r="AA34" s="29">
        <f>SUM(DE34:DH34)</f>
        <v>1708</v>
      </c>
      <c r="AB34" s="29">
        <f>SUM(DI34:DL34)</f>
        <v>1506</v>
      </c>
      <c r="AC34" s="29">
        <f>SUM(DM34:DP34)</f>
        <v>1170</v>
      </c>
      <c r="AD34" s="29">
        <f>SUM(DQ34:DT34)</f>
        <v>602</v>
      </c>
      <c r="AE34" s="29">
        <f>SUM(DU34:DX34)</f>
        <v>480</v>
      </c>
      <c r="AF34" s="29">
        <f>SUM(DY34:EB34)</f>
        <v>94</v>
      </c>
      <c r="AG34" s="29">
        <f>SUM(EC34:EF34)</f>
        <v>0</v>
      </c>
      <c r="AH34" s="29">
        <f>SUM(EG34:EJ34)</f>
        <v>0</v>
      </c>
      <c r="AO34" s="29">
        <v>402</v>
      </c>
      <c r="AP34" s="29">
        <v>138</v>
      </c>
      <c r="AQ34" s="29">
        <v>233</v>
      </c>
      <c r="AR34">
        <v>190</v>
      </c>
      <c r="AS34">
        <v>305</v>
      </c>
      <c r="AT34">
        <v>245</v>
      </c>
      <c r="AU34">
        <v>277</v>
      </c>
      <c r="AV34">
        <v>328</v>
      </c>
      <c r="AW34">
        <v>304</v>
      </c>
      <c r="AX34">
        <v>332</v>
      </c>
      <c r="AY34">
        <v>380</v>
      </c>
      <c r="AZ34">
        <v>377</v>
      </c>
      <c r="BA34">
        <v>351</v>
      </c>
      <c r="BB34">
        <v>375</v>
      </c>
      <c r="BC34">
        <v>415</v>
      </c>
      <c r="BD34">
        <v>422</v>
      </c>
      <c r="BE34">
        <v>385</v>
      </c>
      <c r="BF34">
        <v>437</v>
      </c>
      <c r="BG34">
        <v>491</v>
      </c>
      <c r="BH34">
        <v>475</v>
      </c>
      <c r="BI34">
        <v>419</v>
      </c>
      <c r="BJ34">
        <v>476</v>
      </c>
      <c r="BK34">
        <v>509</v>
      </c>
      <c r="BL34">
        <v>416</v>
      </c>
      <c r="BM34">
        <v>389</v>
      </c>
      <c r="BN34">
        <v>403</v>
      </c>
      <c r="BO34">
        <v>469</v>
      </c>
      <c r="BP34">
        <v>438</v>
      </c>
      <c r="BQ34">
        <v>391</v>
      </c>
      <c r="BR34" s="30">
        <v>386</v>
      </c>
      <c r="BS34" s="30">
        <v>430</v>
      </c>
      <c r="BT34" s="30">
        <v>390</v>
      </c>
      <c r="BU34" s="30">
        <v>394</v>
      </c>
      <c r="BV34" s="30">
        <v>423</v>
      </c>
      <c r="BW34" s="30">
        <v>450</v>
      </c>
      <c r="BX34" s="30">
        <v>434</v>
      </c>
      <c r="BY34" s="30">
        <v>382</v>
      </c>
      <c r="BZ34" s="30">
        <v>450</v>
      </c>
      <c r="CA34">
        <v>498</v>
      </c>
      <c r="CB34">
        <v>460</v>
      </c>
      <c r="CC34">
        <v>463</v>
      </c>
      <c r="CD34">
        <v>509</v>
      </c>
      <c r="CE34">
        <v>502</v>
      </c>
      <c r="CF34">
        <v>454</v>
      </c>
      <c r="CG34">
        <v>423</v>
      </c>
      <c r="CH34">
        <v>466</v>
      </c>
      <c r="CI34">
        <v>549</v>
      </c>
      <c r="CJ34">
        <v>479</v>
      </c>
      <c r="CK34">
        <v>491</v>
      </c>
      <c r="CL34">
        <v>459</v>
      </c>
      <c r="CM34">
        <v>499</v>
      </c>
      <c r="CN34">
        <v>470</v>
      </c>
      <c r="CO34">
        <v>495</v>
      </c>
      <c r="CP34">
        <v>493</v>
      </c>
      <c r="CQ34">
        <v>523</v>
      </c>
      <c r="CR34">
        <v>496</v>
      </c>
      <c r="CS34">
        <v>485</v>
      </c>
      <c r="CT34">
        <v>517</v>
      </c>
      <c r="CU34">
        <v>553</v>
      </c>
      <c r="CV34">
        <v>461</v>
      </c>
      <c r="CW34">
        <v>484</v>
      </c>
      <c r="CX34">
        <v>460</v>
      </c>
      <c r="CY34">
        <v>812</v>
      </c>
      <c r="CZ34">
        <v>374</v>
      </c>
      <c r="DA34">
        <v>427</v>
      </c>
      <c r="DB34">
        <v>427</v>
      </c>
      <c r="DC34">
        <v>464</v>
      </c>
      <c r="DD34">
        <v>396</v>
      </c>
      <c r="DE34">
        <v>448</v>
      </c>
      <c r="DF34">
        <v>430</v>
      </c>
      <c r="DG34">
        <v>434</v>
      </c>
      <c r="DH34">
        <v>396</v>
      </c>
      <c r="DI34">
        <v>401</v>
      </c>
      <c r="DJ34">
        <v>386</v>
      </c>
      <c r="DK34">
        <v>381</v>
      </c>
      <c r="DL34">
        <v>338</v>
      </c>
      <c r="DM34">
        <v>348</v>
      </c>
      <c r="DN34">
        <v>308</v>
      </c>
      <c r="DO34">
        <v>265</v>
      </c>
      <c r="DP34">
        <v>249</v>
      </c>
      <c r="DQ34">
        <v>193</v>
      </c>
      <c r="DR34">
        <v>137</v>
      </c>
      <c r="DS34">
        <v>127</v>
      </c>
      <c r="DT34">
        <v>145</v>
      </c>
      <c r="DU34">
        <v>114</v>
      </c>
      <c r="DV34">
        <v>120</v>
      </c>
      <c r="DW34">
        <v>119</v>
      </c>
      <c r="DX34">
        <v>127</v>
      </c>
      <c r="DY34">
        <v>94</v>
      </c>
    </row>
    <row r="35" spans="1:133" x14ac:dyDescent="0.25">
      <c r="A35">
        <f>+A34+1</f>
        <v>18</v>
      </c>
      <c r="B35" t="s">
        <v>643</v>
      </c>
      <c r="C35" t="s">
        <v>19</v>
      </c>
      <c r="D35" t="s">
        <v>1376</v>
      </c>
      <c r="H35" s="30">
        <f t="shared" si="24"/>
        <v>34654.800000000003</v>
      </c>
      <c r="I35" s="30"/>
      <c r="J35" s="29">
        <f t="shared" si="25"/>
        <v>142.5</v>
      </c>
      <c r="K35" s="29">
        <f t="shared" si="26"/>
        <v>463.20000000000005</v>
      </c>
      <c r="L35" s="29">
        <f t="shared" si="41"/>
        <v>611.4</v>
      </c>
      <c r="M35" s="29">
        <f t="shared" si="28"/>
        <v>854</v>
      </c>
      <c r="N35" s="29">
        <f t="shared" si="29"/>
        <v>1154.8</v>
      </c>
      <c r="O35" s="29">
        <f t="shared" si="42"/>
        <v>1706.1</v>
      </c>
      <c r="P35" s="29">
        <f t="shared" si="43"/>
        <v>2208.5</v>
      </c>
      <c r="Q35" s="29">
        <f t="shared" si="44"/>
        <v>2461.1</v>
      </c>
      <c r="R35" s="29">
        <f t="shared" si="45"/>
        <v>2594.1999999999998</v>
      </c>
      <c r="S35" s="29">
        <f t="shared" si="46"/>
        <v>2702.8999999999996</v>
      </c>
      <c r="T35" s="29">
        <f t="shared" si="47"/>
        <v>2792</v>
      </c>
      <c r="U35" s="29">
        <f t="shared" si="48"/>
        <v>2493</v>
      </c>
      <c r="V35" s="29">
        <f t="shared" si="49"/>
        <v>2283.3000000000002</v>
      </c>
      <c r="W35" s="29">
        <f t="shared" si="50"/>
        <v>2062.5</v>
      </c>
      <c r="X35" s="29">
        <f>SUM(CS35:CV35)</f>
        <v>2132.9</v>
      </c>
      <c r="Y35" s="29">
        <f>SUM(CW35:CZ35)</f>
        <v>2115.9</v>
      </c>
      <c r="Z35" s="29">
        <f>SUM(DA35:DD35)</f>
        <v>2329.9</v>
      </c>
      <c r="AA35" s="29">
        <f>SUM(DE35:DH35)</f>
        <v>2061.5</v>
      </c>
      <c r="AB35" s="29">
        <f>SUM(DI35:DL35)</f>
        <v>927.59999999999991</v>
      </c>
      <c r="AC35" s="29">
        <f>SUM(DM35:DP35)</f>
        <v>217.5</v>
      </c>
      <c r="AD35" s="29">
        <f>SUM(DQ35:DT35)</f>
        <v>190.2</v>
      </c>
      <c r="AE35" s="29">
        <f>SUM(DU35:DX35)</f>
        <v>114.8</v>
      </c>
      <c r="AF35" s="29">
        <f>SUM(DY35:EB35)</f>
        <v>35</v>
      </c>
      <c r="AG35" s="29">
        <f>SUM(EC35:EF35)</f>
        <v>0</v>
      </c>
      <c r="AH35" s="29">
        <f>SUM(EG35:EJ35)</f>
        <v>0</v>
      </c>
      <c r="AO35" s="29">
        <v>11.6</v>
      </c>
      <c r="AP35" s="29">
        <v>17.8</v>
      </c>
      <c r="AQ35" s="29">
        <v>40</v>
      </c>
      <c r="AR35" s="29">
        <v>73.099999999999994</v>
      </c>
      <c r="AS35" s="29">
        <v>93.9</v>
      </c>
      <c r="AT35" s="29">
        <v>111.2</v>
      </c>
      <c r="AU35" s="29">
        <v>122.3</v>
      </c>
      <c r="AV35" s="29">
        <v>135.80000000000001</v>
      </c>
      <c r="AW35" s="29">
        <v>130</v>
      </c>
      <c r="AX35" s="29">
        <v>153</v>
      </c>
      <c r="AY35" s="29">
        <v>157</v>
      </c>
      <c r="AZ35" s="29">
        <v>171.4</v>
      </c>
      <c r="BA35" s="29">
        <v>187.8</v>
      </c>
      <c r="BB35" s="29">
        <v>207.1</v>
      </c>
      <c r="BC35" s="29">
        <v>215</v>
      </c>
      <c r="BD35" s="29">
        <v>244.1</v>
      </c>
      <c r="BE35" s="29">
        <v>247.2</v>
      </c>
      <c r="BF35" s="29">
        <v>275</v>
      </c>
      <c r="BG35" s="29">
        <v>313.89999999999998</v>
      </c>
      <c r="BH35" s="29">
        <v>318.7</v>
      </c>
      <c r="BI35" s="29">
        <v>335.3</v>
      </c>
      <c r="BJ35" s="29">
        <v>385.3</v>
      </c>
      <c r="BK35" s="29">
        <v>461.9</v>
      </c>
      <c r="BL35" s="29">
        <v>523.6</v>
      </c>
      <c r="BM35" s="29">
        <v>527.4</v>
      </c>
      <c r="BN35" s="29">
        <v>551.79999999999995</v>
      </c>
      <c r="BO35" s="29">
        <v>560.29999999999995</v>
      </c>
      <c r="BP35" s="29">
        <v>569</v>
      </c>
      <c r="BQ35" s="29">
        <v>579.9</v>
      </c>
      <c r="BR35" s="29">
        <v>613.4</v>
      </c>
      <c r="BS35" s="29">
        <v>629.70000000000005</v>
      </c>
      <c r="BT35" s="29">
        <v>638.1</v>
      </c>
      <c r="BU35" s="29">
        <v>606.79999999999995</v>
      </c>
      <c r="BV35" s="29">
        <v>659.5</v>
      </c>
      <c r="BW35" s="29">
        <v>643.6</v>
      </c>
      <c r="BX35" s="29">
        <v>684.3</v>
      </c>
      <c r="BY35" s="29">
        <v>616.79999999999995</v>
      </c>
      <c r="BZ35" s="29">
        <v>669.4</v>
      </c>
      <c r="CA35" s="29">
        <v>690.5</v>
      </c>
      <c r="CB35" s="29">
        <v>726.2</v>
      </c>
      <c r="CC35" s="29">
        <v>632</v>
      </c>
      <c r="CD35" s="29">
        <v>711.6</v>
      </c>
      <c r="CE35" s="29">
        <v>723.4</v>
      </c>
      <c r="CF35" s="29">
        <v>725</v>
      </c>
      <c r="CG35" s="29">
        <v>573</v>
      </c>
      <c r="CH35" s="29">
        <v>664.3</v>
      </c>
      <c r="CI35" s="29">
        <v>628.5</v>
      </c>
      <c r="CJ35" s="29">
        <v>627.20000000000005</v>
      </c>
      <c r="CK35" s="29">
        <v>564.20000000000005</v>
      </c>
      <c r="CL35" s="29">
        <v>607.1</v>
      </c>
      <c r="CM35" s="29">
        <v>570.4</v>
      </c>
      <c r="CN35" s="29">
        <v>541.6</v>
      </c>
      <c r="CO35" s="29">
        <v>489.9</v>
      </c>
      <c r="CP35" s="29">
        <v>532.9</v>
      </c>
      <c r="CQ35" s="29">
        <v>514.5</v>
      </c>
      <c r="CR35" s="29">
        <v>525.20000000000005</v>
      </c>
      <c r="CS35" s="29">
        <v>499.6</v>
      </c>
      <c r="CT35" s="29">
        <v>555.9</v>
      </c>
      <c r="CU35" s="29">
        <v>520.5</v>
      </c>
      <c r="CV35" s="29">
        <v>556.9</v>
      </c>
      <c r="CW35" s="29">
        <v>499.2</v>
      </c>
      <c r="CX35" s="29">
        <v>577.79999999999995</v>
      </c>
      <c r="CY35" s="29">
        <v>508.2</v>
      </c>
      <c r="CZ35" s="29">
        <v>530.70000000000005</v>
      </c>
      <c r="DA35" s="29">
        <v>560.1</v>
      </c>
      <c r="DB35" s="29">
        <v>539.1</v>
      </c>
      <c r="DC35" s="29">
        <v>578</v>
      </c>
      <c r="DD35" s="29">
        <v>652.70000000000005</v>
      </c>
      <c r="DE35" s="29">
        <v>559</v>
      </c>
      <c r="DF35" s="29">
        <v>610.6</v>
      </c>
      <c r="DG35" s="29">
        <v>457</v>
      </c>
      <c r="DH35" s="29">
        <v>434.9</v>
      </c>
      <c r="DI35" s="29">
        <v>343.9</v>
      </c>
      <c r="DJ35" s="29">
        <v>227.7</v>
      </c>
      <c r="DK35" s="29">
        <v>119.4</v>
      </c>
      <c r="DL35" s="29">
        <v>236.6</v>
      </c>
      <c r="DM35" s="29">
        <v>58.2</v>
      </c>
      <c r="DN35" s="29">
        <v>60.9</v>
      </c>
      <c r="DO35" s="29">
        <v>53.5</v>
      </c>
      <c r="DP35" s="29">
        <v>44.9</v>
      </c>
      <c r="DQ35" s="29">
        <v>69.5</v>
      </c>
      <c r="DR35" s="29">
        <v>33.9</v>
      </c>
      <c r="DS35" s="29">
        <v>48</v>
      </c>
      <c r="DT35" s="29">
        <v>38.799999999999997</v>
      </c>
      <c r="DU35" s="29">
        <v>28.2</v>
      </c>
      <c r="DV35" s="29">
        <v>28.9</v>
      </c>
      <c r="DW35" s="29">
        <v>25.7</v>
      </c>
      <c r="DX35" s="29">
        <v>32</v>
      </c>
      <c r="DY35" s="29">
        <v>35</v>
      </c>
    </row>
    <row r="36" spans="1:133" x14ac:dyDescent="0.25">
      <c r="A36">
        <f>+A28+1</f>
        <v>24</v>
      </c>
      <c r="B36" t="s">
        <v>1416</v>
      </c>
      <c r="C36" t="s">
        <v>19</v>
      </c>
      <c r="D36" t="s">
        <v>1377</v>
      </c>
      <c r="E36">
        <v>2</v>
      </c>
      <c r="G36" t="s">
        <v>2027</v>
      </c>
      <c r="H36" s="30">
        <f t="shared" ref="H36:H76" si="51">SUM(AO36:GL36)</f>
        <v>29639.300000000007</v>
      </c>
      <c r="I36" s="30"/>
      <c r="J36" s="29">
        <f t="shared" ref="J36:J75" si="52">SUM(AO36:AR36)</f>
        <v>203.3</v>
      </c>
      <c r="K36" s="29">
        <f t="shared" ref="K36:K75" si="53">SUM(AS36:AV36)</f>
        <v>540.09999999999991</v>
      </c>
      <c r="L36" s="29">
        <f t="shared" ref="L36:L75" si="54">SUM(AW36:AZ36)</f>
        <v>690.4</v>
      </c>
      <c r="M36" s="29">
        <f t="shared" ref="M36:M75" si="55">SUM(BA36:BD36)</f>
        <v>943.3</v>
      </c>
      <c r="N36" s="29">
        <f t="shared" ref="N36:N75" si="56">SUM(BE36:BH36)</f>
        <v>1216.3</v>
      </c>
      <c r="O36" s="29">
        <f t="shared" ref="O36:O75" si="57">SUM(BI36:BL36)</f>
        <v>1444.4999999999998</v>
      </c>
      <c r="P36" s="29">
        <f t="shared" ref="P36:P75" si="58">SUM(BM36:BP36)</f>
        <v>1559.1000000000001</v>
      </c>
      <c r="Q36" s="29">
        <f t="shared" ref="Q36:Q75" si="59">SUM(BQ36:BT36)</f>
        <v>1699.4</v>
      </c>
      <c r="R36" s="29">
        <f t="shared" ref="R36:R53" si="60">SUM(BU36:BX36)</f>
        <v>1875.6</v>
      </c>
      <c r="S36" s="29">
        <f t="shared" ref="S36:S53" si="61">SUM(BY36:CB36)</f>
        <v>1926.8000000000002</v>
      </c>
      <c r="T36" s="29">
        <f t="shared" ref="T36:T53" si="62">SUM(CC36:CF36)</f>
        <v>2159.4</v>
      </c>
      <c r="U36" s="29">
        <f t="shared" ref="U36:U53" si="63">SUM(CG36:CJ36)</f>
        <v>2291</v>
      </c>
      <c r="V36" s="29">
        <f>SUM(CK36:CN36)</f>
        <v>2310.6999999999998</v>
      </c>
      <c r="W36" s="29">
        <f>SUM(CO36:CR36)</f>
        <v>2471.6999999999998</v>
      </c>
      <c r="X36" s="29">
        <f t="shared" ref="X36:X75" si="64">SUM(CS36:CV36)</f>
        <v>2323.2000000000003</v>
      </c>
      <c r="Y36" s="29">
        <f t="shared" ref="Y36:Y75" si="65">SUM(CW36:CZ36)</f>
        <v>1851.8999999999999</v>
      </c>
      <c r="Z36" s="29">
        <f t="shared" ref="Z36:Z75" si="66">SUM(DA36:DD36)</f>
        <v>890.50000000000011</v>
      </c>
      <c r="AA36" s="29">
        <f t="shared" ref="AA36:AA75" si="67">SUM(DE36:DH36)</f>
        <v>607.1</v>
      </c>
      <c r="AB36" s="29">
        <f t="shared" ref="AB36:AB75" si="68">SUM(DI36:DL36)</f>
        <v>718.40000000000009</v>
      </c>
      <c r="AC36" s="29">
        <f t="shared" ref="AC36:AC75" si="69">SUM(DM36:DP36)</f>
        <v>587.29999999999995</v>
      </c>
      <c r="AD36" s="29">
        <f t="shared" ref="AD36:AD75" si="70">SUM(DQ36:DT36)</f>
        <v>381.5</v>
      </c>
      <c r="AE36" s="29">
        <f t="shared" ref="AE36:AE75" si="71">SUM(DU36:DX36)</f>
        <v>394.2</v>
      </c>
      <c r="AF36" s="29">
        <f t="shared" ref="AF36:AF75" si="72">SUM(DY36:EB36)</f>
        <v>462.6</v>
      </c>
      <c r="AG36" s="29">
        <f t="shared" ref="AG36:AG75" si="73">SUM(EC36:EF36)</f>
        <v>91</v>
      </c>
      <c r="AH36" s="29">
        <f t="shared" ref="AH36:AH75" si="74">SUM(EG36:EJ36)</f>
        <v>0</v>
      </c>
      <c r="AO36" s="29">
        <v>21.5</v>
      </c>
      <c r="AP36" s="29">
        <v>37.5</v>
      </c>
      <c r="AQ36" s="29">
        <v>50.2</v>
      </c>
      <c r="AR36" s="29">
        <v>94.100000000000023</v>
      </c>
      <c r="AS36" s="29">
        <v>108.3</v>
      </c>
      <c r="AT36" s="29">
        <v>125</v>
      </c>
      <c r="AU36" s="29">
        <v>154.1</v>
      </c>
      <c r="AV36" s="29">
        <v>152.69999999999999</v>
      </c>
      <c r="AW36" s="29">
        <v>150.1</v>
      </c>
      <c r="AX36" s="29">
        <v>165.1</v>
      </c>
      <c r="AY36" s="29">
        <v>180.1</v>
      </c>
      <c r="AZ36" s="29">
        <v>195.1</v>
      </c>
      <c r="BA36" s="29">
        <v>210.1</v>
      </c>
      <c r="BB36" s="29">
        <v>225.1</v>
      </c>
      <c r="BC36" s="29">
        <v>240.1</v>
      </c>
      <c r="BD36" s="29">
        <v>268</v>
      </c>
      <c r="BE36" s="29">
        <v>266</v>
      </c>
      <c r="BF36" s="29">
        <v>293.10000000000002</v>
      </c>
      <c r="BG36" s="29">
        <v>311</v>
      </c>
      <c r="BH36" s="29">
        <v>346.2</v>
      </c>
      <c r="BI36" s="29">
        <v>336.9</v>
      </c>
      <c r="BJ36" s="29">
        <v>362.2</v>
      </c>
      <c r="BK36" s="29">
        <v>376.6</v>
      </c>
      <c r="BL36" s="29">
        <v>368.8</v>
      </c>
      <c r="BM36" s="29">
        <v>358.8</v>
      </c>
      <c r="BN36" s="29">
        <v>363.6</v>
      </c>
      <c r="BO36" s="29">
        <v>397.2</v>
      </c>
      <c r="BP36" s="29">
        <v>439.5</v>
      </c>
      <c r="BQ36" s="29">
        <v>408.3</v>
      </c>
      <c r="BR36" s="29">
        <v>418.7</v>
      </c>
      <c r="BS36" s="29">
        <v>406.5</v>
      </c>
      <c r="BT36" s="29">
        <v>465.9</v>
      </c>
      <c r="BU36" s="29">
        <v>434.4</v>
      </c>
      <c r="BV36" s="29">
        <v>477.2</v>
      </c>
      <c r="BW36" s="29">
        <v>469.8</v>
      </c>
      <c r="BX36" s="29">
        <v>494.2</v>
      </c>
      <c r="BY36" s="29">
        <v>461.8</v>
      </c>
      <c r="BZ36" s="29">
        <v>469.5</v>
      </c>
      <c r="CA36" s="29">
        <v>482.1</v>
      </c>
      <c r="CB36" s="29">
        <v>513.4</v>
      </c>
      <c r="CC36" s="29">
        <v>515</v>
      </c>
      <c r="CD36" s="29">
        <v>529.4</v>
      </c>
      <c r="CE36" s="29">
        <v>526.70000000000005</v>
      </c>
      <c r="CF36" s="29">
        <v>588.29999999999995</v>
      </c>
      <c r="CG36" s="29">
        <v>532.4</v>
      </c>
      <c r="CH36" s="29">
        <v>567.79999999999995</v>
      </c>
      <c r="CI36" s="29">
        <v>568.4</v>
      </c>
      <c r="CJ36" s="29">
        <v>622.4</v>
      </c>
      <c r="CK36" s="29">
        <v>538.29999999999995</v>
      </c>
      <c r="CL36" s="29">
        <v>567.9</v>
      </c>
      <c r="CM36" s="29">
        <v>566.1</v>
      </c>
      <c r="CN36" s="29">
        <v>638.4</v>
      </c>
      <c r="CO36" s="29">
        <v>576.70000000000005</v>
      </c>
      <c r="CP36" s="29">
        <v>630.5</v>
      </c>
      <c r="CQ36" s="29">
        <v>588.20000000000005</v>
      </c>
      <c r="CR36" s="29">
        <v>676.3</v>
      </c>
      <c r="CS36" s="29">
        <v>533.6</v>
      </c>
      <c r="CT36" s="29">
        <v>627.29999999999995</v>
      </c>
      <c r="CU36" s="29">
        <v>564.9</v>
      </c>
      <c r="CV36" s="29">
        <v>597.4</v>
      </c>
      <c r="CW36" s="29">
        <v>495.4</v>
      </c>
      <c r="CX36" s="29">
        <v>538.70000000000005</v>
      </c>
      <c r="CY36" s="29">
        <v>467.1</v>
      </c>
      <c r="CZ36" s="30">
        <v>350.7</v>
      </c>
      <c r="DA36" s="30">
        <v>308.2</v>
      </c>
      <c r="DB36" s="30">
        <v>200.2</v>
      </c>
      <c r="DC36" s="30">
        <v>184.3</v>
      </c>
      <c r="DD36" s="30">
        <v>197.80000000000007</v>
      </c>
      <c r="DE36" s="30">
        <v>193</v>
      </c>
      <c r="DF36" s="30">
        <v>130.69999999999999</v>
      </c>
      <c r="DG36" s="30">
        <v>162.5</v>
      </c>
      <c r="DH36" s="30">
        <v>120.90000000000003</v>
      </c>
      <c r="DI36" s="30">
        <v>126.8</v>
      </c>
      <c r="DJ36" s="30">
        <v>281</v>
      </c>
      <c r="DK36" s="30">
        <v>130.9</v>
      </c>
      <c r="DL36" s="30">
        <v>179.7</v>
      </c>
      <c r="DM36" s="30">
        <v>217.7</v>
      </c>
      <c r="DN36" s="30">
        <v>147</v>
      </c>
      <c r="DO36" s="30">
        <v>115.7</v>
      </c>
      <c r="DP36" s="30">
        <v>106.89999999999998</v>
      </c>
      <c r="DQ36" s="30">
        <v>100.3</v>
      </c>
      <c r="DR36" s="30">
        <v>115.6</v>
      </c>
      <c r="DS36" s="30">
        <v>86.8</v>
      </c>
      <c r="DT36" s="30">
        <v>78.8</v>
      </c>
      <c r="DU36" s="30">
        <v>139.30000000000001</v>
      </c>
      <c r="DV36" s="30">
        <v>87.7</v>
      </c>
      <c r="DW36" s="29">
        <v>91.5</v>
      </c>
      <c r="DX36" s="29">
        <v>75.7</v>
      </c>
      <c r="DY36" s="29">
        <v>69.900000000000006</v>
      </c>
      <c r="DZ36" s="29">
        <v>66.599999999999994</v>
      </c>
      <c r="EA36" s="29">
        <v>254.1</v>
      </c>
      <c r="EB36" s="29">
        <v>72</v>
      </c>
      <c r="EC36" s="29">
        <v>91</v>
      </c>
    </row>
    <row r="37" spans="1:133" x14ac:dyDescent="0.25">
      <c r="A37">
        <f>+A30+1</f>
        <v>27</v>
      </c>
      <c r="B37" t="s">
        <v>1308</v>
      </c>
      <c r="C37" t="s">
        <v>28</v>
      </c>
      <c r="D37" t="s">
        <v>1377</v>
      </c>
      <c r="E37">
        <v>1</v>
      </c>
      <c r="H37" s="30">
        <f t="shared" si="51"/>
        <v>23953</v>
      </c>
      <c r="I37" s="30"/>
      <c r="J37" s="29">
        <f t="shared" si="52"/>
        <v>70</v>
      </c>
      <c r="K37" s="29">
        <f t="shared" si="53"/>
        <v>315</v>
      </c>
      <c r="L37" s="29">
        <f t="shared" si="54"/>
        <v>752</v>
      </c>
      <c r="M37" s="29">
        <f t="shared" si="55"/>
        <v>1367</v>
      </c>
      <c r="N37" s="29">
        <f t="shared" si="56"/>
        <v>2097</v>
      </c>
      <c r="O37" s="29">
        <f t="shared" si="57"/>
        <v>3023</v>
      </c>
      <c r="P37" s="29">
        <f t="shared" si="58"/>
        <v>4091</v>
      </c>
      <c r="Q37" s="29">
        <f t="shared" si="59"/>
        <v>5341</v>
      </c>
      <c r="R37" s="29">
        <f t="shared" si="60"/>
        <v>6897</v>
      </c>
      <c r="S37" s="29">
        <f t="shared" si="61"/>
        <v>0</v>
      </c>
      <c r="T37" s="29">
        <f t="shared" si="62"/>
        <v>0</v>
      </c>
      <c r="U37" s="29">
        <f t="shared" si="63"/>
        <v>0</v>
      </c>
      <c r="V37" s="29">
        <f>SUM(CK37:CN37)</f>
        <v>0</v>
      </c>
      <c r="W37" s="29">
        <f>SUM(CO37:CR37)</f>
        <v>0</v>
      </c>
      <c r="X37" s="29">
        <f t="shared" si="64"/>
        <v>0</v>
      </c>
      <c r="Y37" s="29">
        <f t="shared" si="65"/>
        <v>0</v>
      </c>
      <c r="Z37" s="29">
        <f t="shared" si="66"/>
        <v>0</v>
      </c>
      <c r="AA37" s="29">
        <f t="shared" si="67"/>
        <v>0</v>
      </c>
      <c r="AB37" s="29">
        <f t="shared" si="68"/>
        <v>0</v>
      </c>
      <c r="AC37" s="29">
        <f t="shared" si="69"/>
        <v>0</v>
      </c>
      <c r="AD37" s="29">
        <f t="shared" si="70"/>
        <v>0</v>
      </c>
      <c r="AE37" s="29">
        <f t="shared" si="71"/>
        <v>0</v>
      </c>
      <c r="AF37" s="29">
        <f t="shared" si="72"/>
        <v>0</v>
      </c>
      <c r="AG37" s="29">
        <f t="shared" si="73"/>
        <v>0</v>
      </c>
      <c r="AH37" s="29">
        <f t="shared" si="74"/>
        <v>0</v>
      </c>
      <c r="AO37" s="29">
        <v>16</v>
      </c>
      <c r="AP37" s="29">
        <v>5</v>
      </c>
      <c r="AQ37" s="29">
        <v>17</v>
      </c>
      <c r="AR37">
        <v>32</v>
      </c>
      <c r="AS37">
        <v>53</v>
      </c>
      <c r="AT37">
        <v>68</v>
      </c>
      <c r="AU37">
        <v>84</v>
      </c>
      <c r="AV37">
        <v>110</v>
      </c>
      <c r="AW37">
        <v>128</v>
      </c>
      <c r="AX37">
        <v>185</v>
      </c>
      <c r="AY37">
        <v>200</v>
      </c>
      <c r="AZ37">
        <v>239</v>
      </c>
      <c r="BA37">
        <v>271</v>
      </c>
      <c r="BB37">
        <v>318</v>
      </c>
      <c r="BC37">
        <v>357</v>
      </c>
      <c r="BD37">
        <v>421</v>
      </c>
      <c r="BE37">
        <v>430</v>
      </c>
      <c r="BF37">
        <v>518</v>
      </c>
      <c r="BG37">
        <v>569</v>
      </c>
      <c r="BH37">
        <v>580</v>
      </c>
      <c r="BI37">
        <v>632</v>
      </c>
      <c r="BJ37">
        <v>716</v>
      </c>
      <c r="BK37">
        <v>789</v>
      </c>
      <c r="BL37">
        <v>886</v>
      </c>
      <c r="BM37">
        <v>924</v>
      </c>
      <c r="BN37">
        <v>949</v>
      </c>
      <c r="BO37">
        <v>1093</v>
      </c>
      <c r="BP37">
        <v>1125</v>
      </c>
      <c r="BQ37">
        <v>1135</v>
      </c>
      <c r="BR37">
        <v>1291</v>
      </c>
      <c r="BS37">
        <v>1399</v>
      </c>
      <c r="BT37">
        <v>1516</v>
      </c>
      <c r="BU37">
        <v>1485</v>
      </c>
      <c r="BV37">
        <v>1635</v>
      </c>
      <c r="BW37">
        <v>1879</v>
      </c>
      <c r="BX37">
        <v>1898</v>
      </c>
    </row>
    <row r="38" spans="1:133" x14ac:dyDescent="0.25">
      <c r="A38">
        <f>+A60+1</f>
        <v>49</v>
      </c>
      <c r="B38" t="s">
        <v>1411</v>
      </c>
      <c r="C38" t="s">
        <v>19</v>
      </c>
      <c r="D38" t="s">
        <v>1380</v>
      </c>
      <c r="E38">
        <v>4</v>
      </c>
      <c r="G38" t="s">
        <v>2013</v>
      </c>
      <c r="H38" s="30">
        <f>SUM(AO38:GL38)</f>
        <v>22803.4</v>
      </c>
      <c r="I38" s="30"/>
      <c r="J38" s="29">
        <f>SUM(AO38:AR38)</f>
        <v>3193.8</v>
      </c>
      <c r="K38" s="29">
        <f>SUM(AS38:AV38)</f>
        <v>11188.6</v>
      </c>
      <c r="L38" s="29">
        <f>SUM(AW38:AZ38)</f>
        <v>8421</v>
      </c>
      <c r="M38" s="29">
        <f>SUM(BA38:BD38)</f>
        <v>0</v>
      </c>
      <c r="N38" s="29">
        <f>SUM(BE38:BH38)</f>
        <v>0</v>
      </c>
      <c r="O38" s="29">
        <f>SUM(BI38:BL38)</f>
        <v>0</v>
      </c>
      <c r="P38" s="29">
        <f>SUM(BM38:BP38)</f>
        <v>0</v>
      </c>
      <c r="Q38" s="29">
        <f t="shared" si="59"/>
        <v>0</v>
      </c>
      <c r="R38" s="29"/>
      <c r="S38" s="29"/>
      <c r="X38" s="29">
        <f t="shared" si="64"/>
        <v>0</v>
      </c>
      <c r="Y38" s="29">
        <f t="shared" si="65"/>
        <v>0</v>
      </c>
      <c r="Z38" s="29">
        <f t="shared" si="66"/>
        <v>0</v>
      </c>
      <c r="AA38" s="29">
        <f t="shared" si="67"/>
        <v>0</v>
      </c>
      <c r="AB38" s="29">
        <f t="shared" si="68"/>
        <v>0</v>
      </c>
      <c r="AC38" s="29">
        <f t="shared" si="69"/>
        <v>0</v>
      </c>
      <c r="AD38" s="29">
        <f t="shared" si="70"/>
        <v>0</v>
      </c>
      <c r="AE38" s="29">
        <f t="shared" si="71"/>
        <v>0</v>
      </c>
      <c r="AF38" s="29">
        <f t="shared" si="72"/>
        <v>0</v>
      </c>
      <c r="AG38" s="29">
        <f t="shared" si="73"/>
        <v>0</v>
      </c>
      <c r="AH38" s="29">
        <f t="shared" si="74"/>
        <v>0</v>
      </c>
      <c r="AO38" s="29">
        <v>176</v>
      </c>
      <c r="AP38" s="29">
        <v>517</v>
      </c>
      <c r="AQ38" s="29">
        <v>1243</v>
      </c>
      <c r="AR38" s="29">
        <v>1257.8</v>
      </c>
      <c r="AS38" s="29">
        <v>1907.2</v>
      </c>
      <c r="AT38" s="29">
        <v>2311.9</v>
      </c>
      <c r="AU38" s="29">
        <v>3381.4</v>
      </c>
      <c r="AV38" s="29">
        <v>3588.1</v>
      </c>
      <c r="AW38" s="29">
        <v>4261</v>
      </c>
      <c r="AX38" s="29">
        <v>4160</v>
      </c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</row>
    <row r="39" spans="1:133" x14ac:dyDescent="0.25">
      <c r="A39">
        <f>+A37+1</f>
        <v>28</v>
      </c>
      <c r="B39" t="s">
        <v>1371</v>
      </c>
      <c r="C39" t="s">
        <v>22</v>
      </c>
      <c r="D39" t="s">
        <v>1375</v>
      </c>
      <c r="E39">
        <v>1</v>
      </c>
      <c r="H39" s="30">
        <f t="shared" si="51"/>
        <v>22574</v>
      </c>
      <c r="I39" s="30"/>
      <c r="J39" s="29">
        <f t="shared" si="52"/>
        <v>17175</v>
      </c>
      <c r="K39" s="29">
        <f t="shared" si="53"/>
        <v>6248</v>
      </c>
      <c r="L39" s="29">
        <f t="shared" si="54"/>
        <v>-849</v>
      </c>
      <c r="M39" s="29">
        <f t="shared" si="55"/>
        <v>0</v>
      </c>
      <c r="N39" s="29">
        <f t="shared" si="56"/>
        <v>0</v>
      </c>
      <c r="O39" s="29">
        <f t="shared" si="57"/>
        <v>0</v>
      </c>
      <c r="P39" s="29">
        <f t="shared" si="58"/>
        <v>0</v>
      </c>
      <c r="Q39" s="29">
        <f t="shared" si="59"/>
        <v>0</v>
      </c>
      <c r="R39" s="29">
        <f t="shared" si="60"/>
        <v>0</v>
      </c>
      <c r="S39" s="29">
        <f t="shared" si="61"/>
        <v>0</v>
      </c>
      <c r="T39" s="29">
        <f t="shared" si="62"/>
        <v>0</v>
      </c>
      <c r="U39" s="29">
        <f t="shared" si="63"/>
        <v>0</v>
      </c>
      <c r="V39" s="29">
        <f>SUM(CK39:CN39)</f>
        <v>0</v>
      </c>
      <c r="W39" s="29">
        <f>SUM(CO39:CR39)</f>
        <v>0</v>
      </c>
      <c r="X39" s="29">
        <f t="shared" si="64"/>
        <v>0</v>
      </c>
      <c r="Y39" s="29">
        <f t="shared" si="65"/>
        <v>0</v>
      </c>
      <c r="Z39" s="29">
        <f t="shared" si="66"/>
        <v>0</v>
      </c>
      <c r="AA39" s="29">
        <f t="shared" si="67"/>
        <v>0</v>
      </c>
      <c r="AB39" s="29">
        <f t="shared" si="68"/>
        <v>0</v>
      </c>
      <c r="AC39" s="29">
        <f t="shared" si="69"/>
        <v>0</v>
      </c>
      <c r="AD39" s="29">
        <f t="shared" si="70"/>
        <v>0</v>
      </c>
      <c r="AE39" s="29">
        <f t="shared" si="71"/>
        <v>0</v>
      </c>
      <c r="AF39" s="29">
        <f t="shared" si="72"/>
        <v>0</v>
      </c>
      <c r="AG39" s="29">
        <f t="shared" si="73"/>
        <v>0</v>
      </c>
      <c r="AH39" s="29">
        <f t="shared" si="74"/>
        <v>0</v>
      </c>
      <c r="AO39" s="29">
        <v>76</v>
      </c>
      <c r="AP39" s="29">
        <v>1470</v>
      </c>
      <c r="AQ39" s="29">
        <v>8115</v>
      </c>
      <c r="AR39" s="30">
        <v>7514</v>
      </c>
      <c r="AS39" s="30">
        <v>1834</v>
      </c>
      <c r="AT39" s="30">
        <v>4069</v>
      </c>
      <c r="AU39">
        <v>143</v>
      </c>
      <c r="AV39">
        <v>202</v>
      </c>
      <c r="AW39">
        <v>-3135</v>
      </c>
      <c r="AX39">
        <v>2035</v>
      </c>
      <c r="AY39">
        <v>251</v>
      </c>
    </row>
    <row r="40" spans="1:133" x14ac:dyDescent="0.25">
      <c r="A40">
        <f>+A48+1</f>
        <v>42</v>
      </c>
      <c r="B40" t="s">
        <v>632</v>
      </c>
      <c r="C40" t="s">
        <v>19</v>
      </c>
      <c r="D40" t="s">
        <v>1376</v>
      </c>
      <c r="H40" s="30">
        <f>SUM(AO40:GL40)</f>
        <v>21796.1</v>
      </c>
      <c r="I40" s="30"/>
      <c r="J40" s="29">
        <f>SUM(AO40:AR40)</f>
        <v>192.9</v>
      </c>
      <c r="K40" s="29">
        <f>SUM(AS40:AV40)</f>
        <v>483.59999999999997</v>
      </c>
      <c r="L40" s="29">
        <f>SUM(AW40:AZ40)</f>
        <v>810.1</v>
      </c>
      <c r="M40" s="29">
        <f>SUM(BA40:BD40)</f>
        <v>1227.4000000000001</v>
      </c>
      <c r="N40" s="29">
        <f>SUM(BE40:BH40)</f>
        <v>2079.6999999999998</v>
      </c>
      <c r="O40" s="29">
        <f>SUM(BI40:BL40)</f>
        <v>3525.8999999999996</v>
      </c>
      <c r="P40" s="29">
        <f>SUM(BM40:BP40)</f>
        <v>4896.8999999999996</v>
      </c>
      <c r="Q40" s="29">
        <f t="shared" si="59"/>
        <v>5673.6</v>
      </c>
      <c r="R40" s="29"/>
      <c r="S40" s="29"/>
      <c r="X40" s="29">
        <f t="shared" si="64"/>
        <v>0</v>
      </c>
      <c r="Y40" s="29">
        <f t="shared" si="65"/>
        <v>0</v>
      </c>
      <c r="Z40" s="29">
        <f t="shared" si="66"/>
        <v>0</v>
      </c>
      <c r="AA40" s="29">
        <f t="shared" si="67"/>
        <v>0</v>
      </c>
      <c r="AB40" s="29">
        <f t="shared" si="68"/>
        <v>0</v>
      </c>
      <c r="AC40" s="29">
        <f t="shared" si="69"/>
        <v>0</v>
      </c>
      <c r="AD40" s="29">
        <f t="shared" si="70"/>
        <v>0</v>
      </c>
      <c r="AE40" s="29">
        <f t="shared" si="71"/>
        <v>0</v>
      </c>
      <c r="AF40" s="29">
        <f t="shared" si="72"/>
        <v>0</v>
      </c>
      <c r="AG40" s="29">
        <f t="shared" si="73"/>
        <v>0</v>
      </c>
      <c r="AH40" s="29">
        <f t="shared" si="74"/>
        <v>0</v>
      </c>
      <c r="AO40" s="29">
        <v>21</v>
      </c>
      <c r="AP40" s="29">
        <v>29.7</v>
      </c>
      <c r="AQ40" s="29">
        <v>57.7</v>
      </c>
      <c r="AR40" s="29">
        <v>84.5</v>
      </c>
      <c r="AS40" s="29">
        <v>83.1</v>
      </c>
      <c r="AT40" s="29">
        <v>109.4</v>
      </c>
      <c r="AU40" s="29">
        <v>133.9</v>
      </c>
      <c r="AV40" s="29">
        <v>157.19999999999999</v>
      </c>
      <c r="AW40" s="29">
        <v>179.1</v>
      </c>
      <c r="AX40" s="29">
        <v>188</v>
      </c>
      <c r="AY40" s="29">
        <v>208.6</v>
      </c>
      <c r="AZ40" s="29">
        <v>234.4</v>
      </c>
      <c r="BA40" s="29">
        <v>281.60000000000002</v>
      </c>
      <c r="BB40" s="29">
        <v>269</v>
      </c>
      <c r="BC40" s="29">
        <v>341.3</v>
      </c>
      <c r="BD40" s="29">
        <v>335.5</v>
      </c>
      <c r="BE40" s="29">
        <v>404.1</v>
      </c>
      <c r="BF40" s="29">
        <v>469.4</v>
      </c>
      <c r="BG40" s="29">
        <v>588.5</v>
      </c>
      <c r="BH40" s="29">
        <v>617.70000000000005</v>
      </c>
      <c r="BI40" s="29">
        <v>808</v>
      </c>
      <c r="BJ40" s="29">
        <v>750.9</v>
      </c>
      <c r="BK40" s="29">
        <v>926.8</v>
      </c>
      <c r="BL40" s="29">
        <v>1040.2</v>
      </c>
      <c r="BM40" s="29">
        <v>1145.4000000000001</v>
      </c>
      <c r="BN40" s="29">
        <v>1050.3</v>
      </c>
      <c r="BO40" s="29">
        <v>1331.9</v>
      </c>
      <c r="BP40" s="29">
        <v>1369.3</v>
      </c>
      <c r="BQ40" s="29">
        <v>1555.2</v>
      </c>
      <c r="BR40" s="29">
        <v>1158.9000000000001</v>
      </c>
      <c r="BS40" s="29">
        <v>1489.3</v>
      </c>
      <c r="BT40" s="29">
        <v>1470.2</v>
      </c>
      <c r="BU40" s="29">
        <v>1604</v>
      </c>
      <c r="BV40" s="29">
        <v>1302</v>
      </c>
    </row>
    <row r="41" spans="1:133" x14ac:dyDescent="0.25">
      <c r="A41">
        <f>+A75+1</f>
        <v>63</v>
      </c>
      <c r="B41" t="s">
        <v>2031</v>
      </c>
      <c r="C41" t="s">
        <v>19</v>
      </c>
      <c r="D41" t="s">
        <v>2032</v>
      </c>
      <c r="H41" s="30">
        <f>SUM(AO41:GL41)</f>
        <v>20335.600000000009</v>
      </c>
      <c r="I41" s="30"/>
      <c r="J41" s="29">
        <f t="shared" ref="J41" si="75">SUM(AO41:AR41)</f>
        <v>65.3</v>
      </c>
      <c r="K41" s="29">
        <f t="shared" ref="K41" si="76">SUM(AS41:AV41)</f>
        <v>238.5</v>
      </c>
      <c r="L41" s="29">
        <f t="shared" ref="L41" si="77">SUM(AW41:AZ41)</f>
        <v>389.5</v>
      </c>
      <c r="M41" s="29">
        <f t="shared" ref="M41" si="78">SUM(BA41:BD41)</f>
        <v>594.1</v>
      </c>
      <c r="N41" s="29">
        <f t="shared" ref="N41" si="79">SUM(BE41:BH41)</f>
        <v>709.3</v>
      </c>
      <c r="O41" s="29">
        <f t="shared" ref="O41" si="80">SUM(BI41:BL41)</f>
        <v>778.8</v>
      </c>
      <c r="P41" s="29">
        <f t="shared" ref="P41" si="81">SUM(BM41:BP41)</f>
        <v>816.7</v>
      </c>
      <c r="Q41" s="29">
        <f t="shared" ref="Q41" si="82">SUM(BQ41:BT41)</f>
        <v>830.09999999999991</v>
      </c>
      <c r="R41" s="29">
        <f t="shared" ref="R41" si="83">SUM(BU41:BX41)</f>
        <v>949.90000000000009</v>
      </c>
      <c r="S41" s="29">
        <f t="shared" ref="S41" si="84">SUM(BY41:CB41)</f>
        <v>1151</v>
      </c>
      <c r="T41" s="29">
        <f t="shared" ref="T41" si="85">SUM(CC41:CF41)</f>
        <v>1244.8999999999999</v>
      </c>
      <c r="U41" s="29">
        <f t="shared" ref="U41" si="86">SUM(CG41:CJ41)</f>
        <v>1322</v>
      </c>
      <c r="V41" s="29">
        <f t="shared" ref="V41" si="87">SUM(CK41:CN41)</f>
        <v>1348.1999999999998</v>
      </c>
      <c r="W41" s="29">
        <f t="shared" ref="W41" si="88">SUM(CO41:CR41)</f>
        <v>1499.9</v>
      </c>
      <c r="X41" s="29">
        <f t="shared" ref="X41" si="89">SUM(CS41:CV41)</f>
        <v>1749.1000000000001</v>
      </c>
      <c r="Y41" s="29">
        <f t="shared" ref="Y41" si="90">SUM(CW41:CZ41)</f>
        <v>1575.6</v>
      </c>
      <c r="Z41" s="29">
        <f t="shared" ref="Z41" si="91">SUM(DA41:DD41)</f>
        <v>1404.6000000000001</v>
      </c>
      <c r="AA41" s="29">
        <f t="shared" ref="AA41" si="92">SUM(DE41:DH41)</f>
        <v>1046.3999999999999</v>
      </c>
      <c r="AB41" s="29">
        <f t="shared" ref="AB41" si="93">SUM(DI41:DL41)</f>
        <v>801.8</v>
      </c>
      <c r="AC41" s="29">
        <f t="shared" ref="AC41" si="94">SUM(DM41:DP41)</f>
        <v>613</v>
      </c>
      <c r="AD41" s="29">
        <f t="shared" ref="AD41" si="95">SUM(DQ41:DT41)</f>
        <v>533.20000000000016</v>
      </c>
      <c r="AE41" s="29">
        <f t="shared" ref="AE41" si="96">SUM(DU41:DX41)</f>
        <v>310.89999999999998</v>
      </c>
      <c r="AF41" s="29">
        <f t="shared" ref="AF41" si="97">SUM(DY41:EB41)</f>
        <v>289.8</v>
      </c>
      <c r="AG41" s="29">
        <f t="shared" ref="AG41" si="98">SUM(EC41:EF41)</f>
        <v>73</v>
      </c>
      <c r="AH41" s="29">
        <f t="shared" ref="AH41" si="99">SUM(EG41:EJ41)</f>
        <v>0</v>
      </c>
      <c r="AO41" s="28">
        <v>4.0999999999999996</v>
      </c>
      <c r="AP41" s="28">
        <v>13.7</v>
      </c>
      <c r="AQ41" s="28">
        <v>21.6</v>
      </c>
      <c r="AR41" s="28">
        <v>25.9</v>
      </c>
      <c r="AS41" s="28">
        <v>40.799999999999997</v>
      </c>
      <c r="AT41" s="28">
        <v>65.3</v>
      </c>
      <c r="AU41" s="28">
        <v>58.1</v>
      </c>
      <c r="AV41" s="28">
        <v>74.3</v>
      </c>
      <c r="AW41" s="28">
        <v>67</v>
      </c>
      <c r="AX41" s="28">
        <v>101.9</v>
      </c>
      <c r="AY41" s="28">
        <v>102.6</v>
      </c>
      <c r="AZ41" s="28">
        <v>118</v>
      </c>
      <c r="BA41" s="28">
        <v>127</v>
      </c>
      <c r="BB41" s="28">
        <v>146</v>
      </c>
      <c r="BC41" s="28">
        <v>149</v>
      </c>
      <c r="BD41" s="28">
        <v>172.1</v>
      </c>
      <c r="BE41" s="30">
        <v>153.4</v>
      </c>
      <c r="BF41" s="30">
        <v>177.2</v>
      </c>
      <c r="BG41" s="30">
        <v>180.5</v>
      </c>
      <c r="BH41" s="30">
        <v>198.2</v>
      </c>
      <c r="BI41" s="30">
        <v>185</v>
      </c>
      <c r="BJ41" s="30">
        <v>206.6</v>
      </c>
      <c r="BK41" s="30">
        <v>192.7</v>
      </c>
      <c r="BL41" s="30">
        <v>194.5</v>
      </c>
      <c r="BM41" s="30">
        <v>187.5</v>
      </c>
      <c r="BN41" s="30">
        <v>203.3</v>
      </c>
      <c r="BO41" s="30">
        <v>213.1</v>
      </c>
      <c r="BP41" s="30">
        <v>212.8</v>
      </c>
      <c r="BQ41" s="30">
        <v>194.5</v>
      </c>
      <c r="BR41" s="30">
        <v>209.6</v>
      </c>
      <c r="BS41" s="30">
        <v>199.7</v>
      </c>
      <c r="BT41" s="30">
        <v>226.3</v>
      </c>
      <c r="BU41" s="30">
        <v>216.1</v>
      </c>
      <c r="BV41" s="30">
        <v>231</v>
      </c>
      <c r="BW41" s="30">
        <v>240.3</v>
      </c>
      <c r="BX41" s="30">
        <v>262.5</v>
      </c>
      <c r="BY41" s="30">
        <v>271.3</v>
      </c>
      <c r="BZ41" s="30">
        <v>276.39999999999998</v>
      </c>
      <c r="CA41" s="30">
        <v>288.7</v>
      </c>
      <c r="CB41" s="30">
        <v>314.60000000000002</v>
      </c>
      <c r="CC41" s="30">
        <v>281.5</v>
      </c>
      <c r="CD41" s="30">
        <v>296.89999999999998</v>
      </c>
      <c r="CE41" s="30">
        <v>306.7</v>
      </c>
      <c r="CF41" s="30">
        <v>359.8</v>
      </c>
      <c r="CG41" s="30">
        <v>300.39999999999998</v>
      </c>
      <c r="CH41" s="30">
        <v>308.60000000000002</v>
      </c>
      <c r="CI41" s="30">
        <v>332.2</v>
      </c>
      <c r="CJ41" s="30">
        <v>380.8</v>
      </c>
      <c r="CK41" s="30">
        <v>293</v>
      </c>
      <c r="CL41" s="30">
        <v>328.4</v>
      </c>
      <c r="CM41" s="30">
        <v>348.9</v>
      </c>
      <c r="CN41" s="30">
        <v>377.9</v>
      </c>
      <c r="CO41" s="30">
        <v>318.60000000000002</v>
      </c>
      <c r="CP41" s="30">
        <v>367.6</v>
      </c>
      <c r="CQ41" s="30">
        <v>391.2</v>
      </c>
      <c r="CR41" s="30">
        <v>422.5</v>
      </c>
      <c r="CS41" s="30">
        <v>347.5</v>
      </c>
      <c r="CT41" s="30">
        <v>446.7</v>
      </c>
      <c r="CU41" s="30">
        <v>441.7</v>
      </c>
      <c r="CV41" s="30">
        <v>513.20000000000005</v>
      </c>
      <c r="CW41" s="30">
        <v>313.2</v>
      </c>
      <c r="CX41" s="30">
        <v>434.5</v>
      </c>
      <c r="CY41" s="30">
        <v>390.8</v>
      </c>
      <c r="CZ41" s="30">
        <v>437.1</v>
      </c>
      <c r="DA41" s="30">
        <v>312.89999999999998</v>
      </c>
      <c r="DB41" s="30">
        <v>360.8</v>
      </c>
      <c r="DC41" s="30">
        <v>370.7</v>
      </c>
      <c r="DD41" s="30">
        <v>360.2</v>
      </c>
      <c r="DE41" s="30">
        <v>272.39999999999998</v>
      </c>
      <c r="DF41" s="30">
        <v>252.7</v>
      </c>
      <c r="DG41" s="30">
        <v>266.89999999999998</v>
      </c>
      <c r="DH41" s="30">
        <v>254.4</v>
      </c>
      <c r="DI41" s="30">
        <v>198.5</v>
      </c>
      <c r="DJ41" s="30">
        <v>218.4</v>
      </c>
      <c r="DK41" s="30">
        <v>200.9</v>
      </c>
      <c r="DL41" s="30">
        <v>184</v>
      </c>
      <c r="DM41" s="30">
        <v>137.4</v>
      </c>
      <c r="DN41" s="30">
        <v>138.5</v>
      </c>
      <c r="DO41" s="30">
        <v>177.1</v>
      </c>
      <c r="DP41" s="30">
        <v>160</v>
      </c>
      <c r="DQ41" s="30">
        <v>122.3</v>
      </c>
      <c r="DR41" s="30">
        <v>148</v>
      </c>
      <c r="DS41" s="30">
        <v>146.4</v>
      </c>
      <c r="DT41" s="30">
        <v>116.50000000000007</v>
      </c>
      <c r="DU41" s="30">
        <v>61.3</v>
      </c>
      <c r="DV41" s="30">
        <v>69.900000000000006</v>
      </c>
      <c r="DW41" s="30">
        <v>118.1</v>
      </c>
      <c r="DX41" s="30">
        <v>61.6</v>
      </c>
      <c r="DY41" s="30">
        <v>66.599999999999994</v>
      </c>
      <c r="DZ41" s="30">
        <v>92.5</v>
      </c>
      <c r="EA41" s="30">
        <v>55.7</v>
      </c>
      <c r="EB41" s="30">
        <v>75</v>
      </c>
      <c r="EC41" s="30">
        <v>73</v>
      </c>
    </row>
    <row r="42" spans="1:133" x14ac:dyDescent="0.25">
      <c r="A42">
        <f>+A47+1</f>
        <v>34</v>
      </c>
      <c r="B42" t="s">
        <v>636</v>
      </c>
      <c r="C42" t="s">
        <v>19</v>
      </c>
      <c r="D42" t="s">
        <v>1378</v>
      </c>
      <c r="H42" s="30">
        <f>SUM(AO42:GL42)</f>
        <v>19774.5</v>
      </c>
      <c r="I42" s="30"/>
      <c r="J42" s="29">
        <f>SUM(AO42:AR42)</f>
        <v>209.7</v>
      </c>
      <c r="K42" s="29">
        <f>SUM(AS42:AV42)</f>
        <v>609</v>
      </c>
      <c r="L42" s="29">
        <f>SUM(AW42:AZ42)</f>
        <v>1043.5</v>
      </c>
      <c r="M42" s="29">
        <f>SUM(BA42:BD42)</f>
        <v>1557.4</v>
      </c>
      <c r="N42" s="29">
        <f>SUM(BE42:BH42)</f>
        <v>1748.2</v>
      </c>
      <c r="O42" s="29">
        <f>SUM(BI42:BL42)</f>
        <v>2297.6999999999998</v>
      </c>
      <c r="P42" s="29">
        <f>SUM(BM42:BP42)</f>
        <v>2520.8999999999996</v>
      </c>
      <c r="Q42" s="29">
        <f>SUM(BQ42:BT42)</f>
        <v>2836.7999999999997</v>
      </c>
      <c r="R42" s="29">
        <f>SUM(BU42:BX42)</f>
        <v>3418.2000000000003</v>
      </c>
      <c r="S42" s="29">
        <f>SUM(BY42:CB42)</f>
        <v>3533.1</v>
      </c>
      <c r="T42" s="29">
        <f>SUM(CC42:CF42)</f>
        <v>0</v>
      </c>
      <c r="U42" s="29">
        <f>SUM(CG42:CJ42)</f>
        <v>0</v>
      </c>
      <c r="V42" s="29"/>
      <c r="W42" s="29"/>
      <c r="X42" s="29">
        <f t="shared" si="64"/>
        <v>0</v>
      </c>
      <c r="Y42" s="29">
        <f t="shared" si="65"/>
        <v>0</v>
      </c>
      <c r="Z42" s="29">
        <f t="shared" si="66"/>
        <v>0</v>
      </c>
      <c r="AA42" s="29">
        <f t="shared" si="67"/>
        <v>0</v>
      </c>
      <c r="AB42" s="29">
        <f t="shared" si="68"/>
        <v>0</v>
      </c>
      <c r="AC42" s="29">
        <f t="shared" si="69"/>
        <v>0</v>
      </c>
      <c r="AD42" s="29">
        <f t="shared" si="70"/>
        <v>0</v>
      </c>
      <c r="AE42" s="29">
        <f t="shared" si="71"/>
        <v>0</v>
      </c>
      <c r="AF42" s="29">
        <f t="shared" si="72"/>
        <v>0</v>
      </c>
      <c r="AG42" s="29">
        <f t="shared" si="73"/>
        <v>0</v>
      </c>
      <c r="AH42" s="29">
        <f t="shared" si="74"/>
        <v>0</v>
      </c>
      <c r="AO42" s="28">
        <v>19.3</v>
      </c>
      <c r="AP42" s="28">
        <v>32.5</v>
      </c>
      <c r="AQ42" s="28">
        <v>61.3</v>
      </c>
      <c r="AR42" s="28">
        <v>96.6</v>
      </c>
      <c r="AS42" s="28">
        <v>138.69999999999999</v>
      </c>
      <c r="AT42" s="28">
        <v>151.30000000000001</v>
      </c>
      <c r="AU42" s="28">
        <v>172.5</v>
      </c>
      <c r="AV42" s="28">
        <v>146.5</v>
      </c>
      <c r="AW42" s="28">
        <v>220.1</v>
      </c>
      <c r="AX42" s="28">
        <v>263.89999999999998</v>
      </c>
      <c r="AY42" s="28">
        <v>307</v>
      </c>
      <c r="AZ42" s="28">
        <v>252.5</v>
      </c>
      <c r="BA42" s="28">
        <v>353.8</v>
      </c>
      <c r="BB42" s="28">
        <v>340</v>
      </c>
      <c r="BC42" s="28">
        <v>420.1</v>
      </c>
      <c r="BD42" s="28">
        <v>443.5</v>
      </c>
      <c r="BE42" s="28">
        <v>395.2</v>
      </c>
      <c r="BF42" s="28">
        <v>454.5</v>
      </c>
      <c r="BG42" s="28">
        <v>495.3</v>
      </c>
      <c r="BH42" s="28">
        <v>403.2</v>
      </c>
      <c r="BI42" s="28">
        <v>569.1</v>
      </c>
      <c r="BJ42" s="28">
        <v>593.1</v>
      </c>
      <c r="BK42" s="28">
        <v>647.4</v>
      </c>
      <c r="BL42" s="28">
        <v>488.1</v>
      </c>
      <c r="BM42" s="28">
        <v>606.20000000000005</v>
      </c>
      <c r="BN42" s="28">
        <v>679.9</v>
      </c>
      <c r="BO42" s="28">
        <v>707.8</v>
      </c>
      <c r="BP42" s="28">
        <v>527</v>
      </c>
      <c r="BQ42" s="28">
        <v>703.9</v>
      </c>
      <c r="BR42" s="28">
        <v>744.2</v>
      </c>
      <c r="BS42" s="28">
        <v>784.6</v>
      </c>
      <c r="BT42" s="28">
        <v>604.1</v>
      </c>
      <c r="BU42" s="28">
        <v>824.7</v>
      </c>
      <c r="BV42" s="28">
        <v>879.6</v>
      </c>
      <c r="BW42" s="28">
        <v>952</v>
      </c>
      <c r="BX42" s="28">
        <v>761.9</v>
      </c>
      <c r="BY42" s="28">
        <v>847.6</v>
      </c>
      <c r="BZ42" s="28">
        <v>901.5</v>
      </c>
      <c r="CA42" s="28">
        <v>1051</v>
      </c>
      <c r="CB42" s="28">
        <v>733</v>
      </c>
    </row>
    <row r="43" spans="1:133" x14ac:dyDescent="0.25">
      <c r="A43">
        <f>+A50+1</f>
        <v>38</v>
      </c>
      <c r="B43" t="s">
        <v>639</v>
      </c>
      <c r="C43" t="s">
        <v>19</v>
      </c>
      <c r="D43" t="s">
        <v>1380</v>
      </c>
      <c r="H43" s="30">
        <f>SUM(AO43:GL43)</f>
        <v>17654.099999999999</v>
      </c>
      <c r="I43" s="30"/>
      <c r="J43" s="29">
        <f>SUM(AO43:AR43)</f>
        <v>60.4</v>
      </c>
      <c r="K43" s="29">
        <f>SUM(AS43:AV43)</f>
        <v>201.9</v>
      </c>
      <c r="L43" s="29">
        <f>SUM(AW43:AZ43)</f>
        <v>447.59999999999997</v>
      </c>
      <c r="M43" s="29">
        <f>SUM(BA43:BD43)</f>
        <v>658.3</v>
      </c>
      <c r="N43" s="29">
        <f>SUM(BE43:BH43)</f>
        <v>944.2</v>
      </c>
      <c r="O43" s="29">
        <f>SUM(BI43:BL43)</f>
        <v>1153.9000000000001</v>
      </c>
      <c r="P43" s="29">
        <f>SUM(BM43:BP43)</f>
        <v>1490.8000000000002</v>
      </c>
      <c r="Q43" s="29">
        <f>SUM(BQ43:BT43)</f>
        <v>2066</v>
      </c>
      <c r="R43" s="29">
        <f>SUM(BU43:BX43)</f>
        <v>2744.7</v>
      </c>
      <c r="S43" s="29">
        <f>SUM(BY43:CB43)</f>
        <v>3340.9</v>
      </c>
      <c r="T43" s="29">
        <f>SUM(CC43:CF43)</f>
        <v>3431.4</v>
      </c>
      <c r="U43" s="29">
        <f>SUM(CG43:CJ43)</f>
        <v>1114</v>
      </c>
      <c r="V43" s="29">
        <f>SUM(CK43:CN43)</f>
        <v>0</v>
      </c>
      <c r="W43" s="29">
        <f>SUM(CO43:CR43)</f>
        <v>0</v>
      </c>
      <c r="X43" s="29">
        <f>SUM(CS43:CV43)</f>
        <v>0</v>
      </c>
      <c r="Y43" s="29">
        <f>SUM(CW43:CZ43)</f>
        <v>0</v>
      </c>
      <c r="Z43" s="29">
        <f>SUM(DA43:DD43)</f>
        <v>0</v>
      </c>
      <c r="AA43" s="29">
        <f>SUM(DE43:DH43)</f>
        <v>0</v>
      </c>
      <c r="AB43" s="29">
        <f>SUM(DI43:DL43)</f>
        <v>0</v>
      </c>
      <c r="AC43" s="29">
        <f>SUM(DM43:DP43)</f>
        <v>0</v>
      </c>
      <c r="AD43" s="29">
        <f>SUM(DQ43:DT43)</f>
        <v>0</v>
      </c>
      <c r="AE43" s="29">
        <f>SUM(DU43:DX43)</f>
        <v>0</v>
      </c>
      <c r="AF43" s="29">
        <f>SUM(DY43:EB43)</f>
        <v>0</v>
      </c>
      <c r="AG43" s="29">
        <f>SUM(EC43:EF43)</f>
        <v>0</v>
      </c>
      <c r="AH43" s="29">
        <f>SUM(EG43:EJ43)</f>
        <v>0</v>
      </c>
      <c r="AO43" s="29">
        <v>19.3</v>
      </c>
      <c r="AP43" s="29">
        <v>11.1</v>
      </c>
      <c r="AQ43" s="29">
        <v>15.4</v>
      </c>
      <c r="AR43" s="29">
        <v>14.6</v>
      </c>
      <c r="AS43" s="29">
        <v>38.200000000000003</v>
      </c>
      <c r="AT43" s="29">
        <v>40.1</v>
      </c>
      <c r="AU43" s="29">
        <v>47.5</v>
      </c>
      <c r="AV43" s="29">
        <v>76.099999999999994</v>
      </c>
      <c r="AW43" s="29">
        <v>74</v>
      </c>
      <c r="AX43" s="29">
        <v>103.2</v>
      </c>
      <c r="AY43" s="29">
        <v>127.2</v>
      </c>
      <c r="AZ43" s="29">
        <v>143.19999999999999</v>
      </c>
      <c r="BA43" s="29">
        <v>151</v>
      </c>
      <c r="BB43" s="29">
        <v>147.19999999999999</v>
      </c>
      <c r="BC43" s="29">
        <v>166.9</v>
      </c>
      <c r="BD43" s="29">
        <v>193.2</v>
      </c>
      <c r="BE43" s="29">
        <v>203.6</v>
      </c>
      <c r="BF43" s="29">
        <v>231.9</v>
      </c>
      <c r="BG43" s="29">
        <v>240.7</v>
      </c>
      <c r="BH43" s="29">
        <v>268</v>
      </c>
      <c r="BI43" s="29">
        <v>267.5</v>
      </c>
      <c r="BJ43" s="29">
        <v>262</v>
      </c>
      <c r="BK43" s="29">
        <v>310.8</v>
      </c>
      <c r="BL43" s="29">
        <v>313.60000000000002</v>
      </c>
      <c r="BM43" s="29">
        <v>312</v>
      </c>
      <c r="BN43" s="29">
        <v>356.5</v>
      </c>
      <c r="BO43" s="29">
        <v>390.4</v>
      </c>
      <c r="BP43" s="29">
        <v>431.9</v>
      </c>
      <c r="BQ43" s="29">
        <v>419.4</v>
      </c>
      <c r="BR43" s="29">
        <v>461</v>
      </c>
      <c r="BS43" s="29">
        <v>573.29999999999995</v>
      </c>
      <c r="BT43" s="29">
        <v>612.29999999999995</v>
      </c>
      <c r="BU43" s="29">
        <v>577.5</v>
      </c>
      <c r="BV43" s="29">
        <v>668.3</v>
      </c>
      <c r="BW43" s="29">
        <v>700.8</v>
      </c>
      <c r="BX43" s="29">
        <v>798.1</v>
      </c>
      <c r="BY43" s="29">
        <v>686.5</v>
      </c>
      <c r="BZ43" s="29">
        <v>769.6</v>
      </c>
      <c r="CA43" s="29">
        <v>686.4</v>
      </c>
      <c r="CB43" s="29">
        <v>1198.4000000000001</v>
      </c>
      <c r="CC43" s="29">
        <v>1014.4</v>
      </c>
      <c r="CD43" s="29">
        <v>690</v>
      </c>
      <c r="CE43" s="29">
        <v>959</v>
      </c>
      <c r="CF43" s="29">
        <v>768</v>
      </c>
      <c r="CG43" s="29">
        <v>1114</v>
      </c>
    </row>
    <row r="44" spans="1:133" x14ac:dyDescent="0.25">
      <c r="A44">
        <f>+A33+1</f>
        <v>32</v>
      </c>
      <c r="B44" t="s">
        <v>1393</v>
      </c>
      <c r="C44" t="s">
        <v>22</v>
      </c>
      <c r="D44" t="s">
        <v>1378</v>
      </c>
      <c r="G44" t="s">
        <v>2018</v>
      </c>
      <c r="H44" s="30">
        <f t="shared" si="51"/>
        <v>16115</v>
      </c>
      <c r="I44" s="30"/>
      <c r="J44" s="29">
        <f t="shared" si="52"/>
        <v>63</v>
      </c>
      <c r="K44" s="29">
        <f t="shared" si="53"/>
        <v>251</v>
      </c>
      <c r="L44" s="29">
        <f t="shared" si="54"/>
        <v>455</v>
      </c>
      <c r="M44" s="29">
        <f t="shared" si="55"/>
        <v>821</v>
      </c>
      <c r="N44" s="29">
        <f t="shared" si="56"/>
        <v>1212</v>
      </c>
      <c r="O44" s="29">
        <f t="shared" si="57"/>
        <v>1631</v>
      </c>
      <c r="P44" s="29">
        <f t="shared" si="58"/>
        <v>2188</v>
      </c>
      <c r="Q44" s="29">
        <f t="shared" si="59"/>
        <v>2347</v>
      </c>
      <c r="R44" s="29">
        <f t="shared" si="60"/>
        <v>2430</v>
      </c>
      <c r="S44" s="29">
        <f t="shared" si="61"/>
        <v>2025</v>
      </c>
      <c r="T44" s="29">
        <f t="shared" si="62"/>
        <v>1702</v>
      </c>
      <c r="U44" s="29">
        <f t="shared" si="63"/>
        <v>990</v>
      </c>
      <c r="V44" s="29">
        <f>SUM(CK44:CN44)</f>
        <v>0</v>
      </c>
      <c r="W44" s="29">
        <f>SUM(CO44:CR44)</f>
        <v>0</v>
      </c>
      <c r="X44" s="29">
        <f t="shared" si="64"/>
        <v>0</v>
      </c>
      <c r="Y44" s="29">
        <f t="shared" si="65"/>
        <v>0</v>
      </c>
      <c r="Z44" s="29">
        <f t="shared" si="66"/>
        <v>0</v>
      </c>
      <c r="AA44" s="29">
        <f t="shared" si="67"/>
        <v>0</v>
      </c>
      <c r="AB44" s="29">
        <f t="shared" si="68"/>
        <v>0</v>
      </c>
      <c r="AC44" s="29">
        <f t="shared" si="69"/>
        <v>0</v>
      </c>
      <c r="AD44" s="29">
        <f t="shared" si="70"/>
        <v>0</v>
      </c>
      <c r="AE44" s="29">
        <f t="shared" si="71"/>
        <v>0</v>
      </c>
      <c r="AF44" s="29">
        <f t="shared" si="72"/>
        <v>0</v>
      </c>
      <c r="AG44" s="29">
        <f t="shared" si="73"/>
        <v>0</v>
      </c>
      <c r="AH44" s="29">
        <f t="shared" si="74"/>
        <v>0</v>
      </c>
      <c r="AO44" s="29">
        <v>6</v>
      </c>
      <c r="AP44" s="29">
        <v>0</v>
      </c>
      <c r="AQ44" s="29">
        <v>22</v>
      </c>
      <c r="AR44">
        <v>35</v>
      </c>
      <c r="AS44">
        <v>46</v>
      </c>
      <c r="AT44">
        <v>52</v>
      </c>
      <c r="AU44">
        <v>68</v>
      </c>
      <c r="AV44">
        <v>85</v>
      </c>
      <c r="AW44">
        <v>104</v>
      </c>
      <c r="AX44">
        <v>96</v>
      </c>
      <c r="AY44">
        <v>128</v>
      </c>
      <c r="AZ44">
        <v>127</v>
      </c>
      <c r="BA44">
        <v>172</v>
      </c>
      <c r="BB44">
        <v>197</v>
      </c>
      <c r="BC44">
        <v>217</v>
      </c>
      <c r="BD44">
        <v>235</v>
      </c>
      <c r="BE44">
        <v>278</v>
      </c>
      <c r="BF44">
        <v>250</v>
      </c>
      <c r="BG44">
        <v>336</v>
      </c>
      <c r="BH44">
        <v>348</v>
      </c>
      <c r="BI44">
        <v>410</v>
      </c>
      <c r="BJ44">
        <v>326</v>
      </c>
      <c r="BK44">
        <v>463</v>
      </c>
      <c r="BL44">
        <v>432</v>
      </c>
      <c r="BM44">
        <v>553</v>
      </c>
      <c r="BN44">
        <v>423</v>
      </c>
      <c r="BO44">
        <v>613</v>
      </c>
      <c r="BP44">
        <v>599</v>
      </c>
      <c r="BQ44">
        <v>607</v>
      </c>
      <c r="BR44">
        <v>451</v>
      </c>
      <c r="BS44">
        <v>635</v>
      </c>
      <c r="BT44">
        <v>654</v>
      </c>
      <c r="BU44">
        <v>696</v>
      </c>
      <c r="BV44">
        <v>538</v>
      </c>
      <c r="BW44">
        <v>586</v>
      </c>
      <c r="BX44">
        <v>610</v>
      </c>
      <c r="BY44">
        <v>721</v>
      </c>
      <c r="BZ44">
        <v>372</v>
      </c>
      <c r="CA44">
        <v>430</v>
      </c>
      <c r="CB44">
        <v>502</v>
      </c>
      <c r="CC44">
        <v>493</v>
      </c>
      <c r="CD44">
        <v>237</v>
      </c>
      <c r="CE44">
        <v>469</v>
      </c>
      <c r="CF44">
        <v>503</v>
      </c>
      <c r="CG44">
        <v>493</v>
      </c>
      <c r="CH44">
        <v>194</v>
      </c>
      <c r="CI44">
        <v>303</v>
      </c>
    </row>
    <row r="45" spans="1:133" x14ac:dyDescent="0.25">
      <c r="A45">
        <f>+A64+1</f>
        <v>54</v>
      </c>
      <c r="B45" t="s">
        <v>2037</v>
      </c>
      <c r="C45" t="s">
        <v>19</v>
      </c>
      <c r="D45" t="s">
        <v>1376</v>
      </c>
      <c r="H45" s="30">
        <f>SUM(AO45:GL45)</f>
        <v>14413.200000000003</v>
      </c>
      <c r="I45" s="30"/>
      <c r="J45" s="29">
        <f t="shared" ref="J45" si="100">SUM(AO45:AR45)</f>
        <v>95.1</v>
      </c>
      <c r="K45" s="29">
        <f t="shared" si="53"/>
        <v>198.70000000000002</v>
      </c>
      <c r="L45" s="29">
        <f t="shared" ref="L45" si="101">SUM(AW45:AZ45)</f>
        <v>364.20000000000005</v>
      </c>
      <c r="M45" s="29">
        <f t="shared" ref="M45" si="102">SUM(BA45:BD45)</f>
        <v>477.4</v>
      </c>
      <c r="N45" s="29">
        <f t="shared" ref="N45" si="103">SUM(BE45:BH45)</f>
        <v>597.29999999999995</v>
      </c>
      <c r="O45" s="29">
        <f t="shared" ref="O45" si="104">SUM(BI45:BL45)</f>
        <v>746.4</v>
      </c>
      <c r="P45" s="29">
        <f t="shared" ref="P45" si="105">SUM(BM45:BP45)</f>
        <v>911.00000000000011</v>
      </c>
      <c r="Q45" s="29">
        <f t="shared" ref="Q45" si="106">SUM(BQ45:BT45)</f>
        <v>1066.8</v>
      </c>
      <c r="R45" s="29">
        <f t="shared" ref="R45" si="107">SUM(BU45:BX45)</f>
        <v>1240.0999999999999</v>
      </c>
      <c r="S45" s="29">
        <f t="shared" ref="S45" si="108">SUM(BY45:CB45)</f>
        <v>1368.9</v>
      </c>
      <c r="T45" s="29">
        <f t="shared" ref="T45" si="109">SUM(CC45:CF45)</f>
        <v>1447.1999999999998</v>
      </c>
      <c r="U45" s="29">
        <f t="shared" ref="U45" si="110">SUM(CG45:CJ45)</f>
        <v>1641.7</v>
      </c>
      <c r="V45" s="29">
        <f t="shared" ref="V45" si="111">SUM(CK45:CN45)</f>
        <v>1661.3999999999999</v>
      </c>
      <c r="W45" s="29">
        <f t="shared" ref="W45" si="112">SUM(CO45:CR45)</f>
        <v>1283.3</v>
      </c>
      <c r="X45" s="29">
        <f t="shared" ref="X45" si="113">SUM(CS45:CV45)</f>
        <v>1017.7</v>
      </c>
      <c r="Y45" s="29">
        <f t="shared" ref="Y45" si="114">SUM(CW45:CZ45)</f>
        <v>296</v>
      </c>
      <c r="Z45" s="29">
        <f t="shared" ref="Z45" si="115">SUM(DA45:DD45)</f>
        <v>0</v>
      </c>
      <c r="AA45" s="29">
        <f t="shared" ref="AA45" si="116">SUM(DE45:DH45)</f>
        <v>0</v>
      </c>
      <c r="AB45" s="29">
        <f t="shared" ref="AB45" si="117">SUM(DI45:DL45)</f>
        <v>0</v>
      </c>
      <c r="AC45" s="29">
        <f t="shared" ref="AC45" si="118">SUM(DM45:DP45)</f>
        <v>0</v>
      </c>
      <c r="AD45" s="29">
        <f t="shared" ref="AD45" si="119">SUM(DQ45:DT45)</f>
        <v>0</v>
      </c>
      <c r="AE45" s="29">
        <f t="shared" ref="AE45" si="120">SUM(DU45:DX45)</f>
        <v>0</v>
      </c>
      <c r="AF45" s="29">
        <f t="shared" ref="AF45" si="121">SUM(DY45:EB45)</f>
        <v>0</v>
      </c>
      <c r="AG45" s="29">
        <f t="shared" ref="AG45" si="122">SUM(EC45:EF45)</f>
        <v>0</v>
      </c>
      <c r="AH45" s="29">
        <f t="shared" ref="AH45" si="123">SUM(EG45:EJ45)</f>
        <v>0</v>
      </c>
      <c r="AO45" s="29">
        <v>12</v>
      </c>
      <c r="AP45" s="29">
        <v>22</v>
      </c>
      <c r="AQ45" s="29">
        <f>62-AP45-AO45</f>
        <v>28</v>
      </c>
      <c r="AR45" s="29">
        <v>33.1</v>
      </c>
      <c r="AS45" s="29">
        <v>41</v>
      </c>
      <c r="AT45" s="29">
        <v>47.3</v>
      </c>
      <c r="AU45" s="29">
        <f>174.8-AT45-AS45-AR45</f>
        <v>53.400000000000013</v>
      </c>
      <c r="AV45" s="29">
        <v>57</v>
      </c>
      <c r="AW45" s="29">
        <v>85</v>
      </c>
      <c r="AX45" s="29">
        <v>69</v>
      </c>
      <c r="AY45" s="29">
        <f>306.8-AX45-AW45-AV45</f>
        <v>95.800000000000011</v>
      </c>
      <c r="AZ45" s="29">
        <v>114.4</v>
      </c>
      <c r="BA45" s="29">
        <v>86.5</v>
      </c>
      <c r="BB45" s="29">
        <v>119.2</v>
      </c>
      <c r="BC45" s="29">
        <f>455.8-BB45-BA45-AZ45</f>
        <v>135.70000000000002</v>
      </c>
      <c r="BD45" s="29">
        <v>136</v>
      </c>
      <c r="BE45" s="29">
        <v>107.9</v>
      </c>
      <c r="BF45" s="29">
        <v>155.1</v>
      </c>
      <c r="BG45" s="29">
        <f>559.3-BF45-BE45-BD45</f>
        <v>160.29999999999995</v>
      </c>
      <c r="BH45" s="29">
        <v>174</v>
      </c>
      <c r="BI45" s="29">
        <v>160.9</v>
      </c>
      <c r="BJ45" s="29">
        <v>187</v>
      </c>
      <c r="BK45" s="29">
        <f>722.9-BJ45-BI45-BH45</f>
        <v>201</v>
      </c>
      <c r="BL45" s="29">
        <v>197.5</v>
      </c>
      <c r="BM45" s="29">
        <v>219</v>
      </c>
      <c r="BN45" s="29">
        <v>197.2</v>
      </c>
      <c r="BO45" s="29">
        <f>874.6-BN45-BM45-BL45</f>
        <v>260.90000000000009</v>
      </c>
      <c r="BP45" s="29">
        <v>233.9</v>
      </c>
      <c r="BQ45" s="29">
        <v>254.6</v>
      </c>
      <c r="BR45" s="29">
        <v>250.6</v>
      </c>
      <c r="BS45" s="29">
        <v>282.60000000000002</v>
      </c>
      <c r="BT45" s="29">
        <v>279</v>
      </c>
      <c r="BU45" s="29">
        <v>293.3</v>
      </c>
      <c r="BV45" s="29">
        <v>312.7</v>
      </c>
      <c r="BW45" s="29">
        <v>329.5</v>
      </c>
      <c r="BX45" s="29">
        <v>304.60000000000002</v>
      </c>
      <c r="BY45" s="29">
        <v>343</v>
      </c>
      <c r="BZ45" s="29">
        <v>334.3</v>
      </c>
      <c r="CA45" s="29">
        <v>352.6</v>
      </c>
      <c r="CB45" s="29">
        <v>339</v>
      </c>
      <c r="CC45" s="29">
        <v>344</v>
      </c>
      <c r="CD45" s="29">
        <v>355</v>
      </c>
      <c r="CE45" s="29">
        <v>371.3</v>
      </c>
      <c r="CF45" s="29">
        <v>376.9</v>
      </c>
      <c r="CG45" s="29">
        <v>395.6</v>
      </c>
      <c r="CH45" s="29">
        <v>394.4</v>
      </c>
      <c r="CI45" s="29">
        <v>425.5</v>
      </c>
      <c r="CJ45" s="29">
        <v>426.2</v>
      </c>
      <c r="CK45" s="29">
        <v>440.1</v>
      </c>
      <c r="CL45" s="29">
        <v>440.2</v>
      </c>
      <c r="CM45" s="29">
        <v>413.3</v>
      </c>
      <c r="CN45" s="29">
        <v>367.8</v>
      </c>
      <c r="CO45" s="29">
        <v>353.2</v>
      </c>
      <c r="CP45" s="29">
        <v>331.8</v>
      </c>
      <c r="CQ45" s="29">
        <v>310.5</v>
      </c>
      <c r="CR45" s="29">
        <v>287.8</v>
      </c>
      <c r="CS45" s="29">
        <v>293.39999999999998</v>
      </c>
      <c r="CT45" s="29">
        <v>324.60000000000002</v>
      </c>
      <c r="CU45" s="29">
        <v>243.6</v>
      </c>
      <c r="CV45" s="29">
        <v>156.1</v>
      </c>
      <c r="CW45" s="29">
        <v>112.4</v>
      </c>
      <c r="CX45" s="29">
        <v>91</v>
      </c>
      <c r="CY45" s="29">
        <v>92.6</v>
      </c>
      <c r="CZ45" s="29">
        <v>0</v>
      </c>
      <c r="DA45" s="29">
        <v>0</v>
      </c>
      <c r="DB45" s="29">
        <v>0</v>
      </c>
    </row>
    <row r="46" spans="1:133" x14ac:dyDescent="0.25">
      <c r="A46">
        <f>+A33+1</f>
        <v>32</v>
      </c>
      <c r="B46" t="s">
        <v>1365</v>
      </c>
      <c r="C46" t="s">
        <v>44</v>
      </c>
      <c r="D46" t="s">
        <v>1379</v>
      </c>
      <c r="H46" s="30">
        <f t="shared" si="51"/>
        <v>12925</v>
      </c>
      <c r="I46" s="30"/>
      <c r="J46" s="29">
        <f t="shared" si="52"/>
        <v>549</v>
      </c>
      <c r="K46" s="29">
        <f t="shared" si="53"/>
        <v>1328</v>
      </c>
      <c r="L46" s="29">
        <f t="shared" si="54"/>
        <v>1562</v>
      </c>
      <c r="M46" s="29">
        <f t="shared" si="55"/>
        <v>1616</v>
      </c>
      <c r="N46" s="29">
        <f t="shared" si="56"/>
        <v>1762</v>
      </c>
      <c r="O46" s="29">
        <f t="shared" si="57"/>
        <v>1715</v>
      </c>
      <c r="P46" s="29">
        <f t="shared" si="58"/>
        <v>1946</v>
      </c>
      <c r="Q46" s="29">
        <f t="shared" si="59"/>
        <v>1962</v>
      </c>
      <c r="R46" s="29">
        <f t="shared" si="60"/>
        <v>485</v>
      </c>
      <c r="S46" s="29">
        <f t="shared" si="61"/>
        <v>0</v>
      </c>
      <c r="T46" s="29">
        <f t="shared" si="62"/>
        <v>0</v>
      </c>
      <c r="U46" s="29">
        <f t="shared" si="63"/>
        <v>0</v>
      </c>
      <c r="V46" s="29">
        <f>SUM(CK46:CN46)</f>
        <v>0</v>
      </c>
      <c r="W46" s="29">
        <f>SUM(CO46:CR46)</f>
        <v>0</v>
      </c>
      <c r="X46" s="29">
        <f t="shared" si="64"/>
        <v>0</v>
      </c>
      <c r="Y46" s="29">
        <f t="shared" si="65"/>
        <v>0</v>
      </c>
      <c r="Z46" s="29">
        <f t="shared" si="66"/>
        <v>0</v>
      </c>
      <c r="AA46" s="29">
        <f t="shared" si="67"/>
        <v>0</v>
      </c>
      <c r="AB46" s="29">
        <f t="shared" si="68"/>
        <v>0</v>
      </c>
      <c r="AC46" s="29">
        <f t="shared" si="69"/>
        <v>0</v>
      </c>
      <c r="AD46" s="29">
        <f t="shared" si="70"/>
        <v>0</v>
      </c>
      <c r="AE46" s="29">
        <f t="shared" si="71"/>
        <v>0</v>
      </c>
      <c r="AF46" s="29">
        <f t="shared" si="72"/>
        <v>0</v>
      </c>
      <c r="AG46" s="29">
        <f t="shared" si="73"/>
        <v>0</v>
      </c>
      <c r="AH46" s="29">
        <f t="shared" si="74"/>
        <v>0</v>
      </c>
      <c r="AO46" s="29">
        <v>61</v>
      </c>
      <c r="AP46" s="29">
        <v>88</v>
      </c>
      <c r="AQ46" s="29">
        <v>149</v>
      </c>
      <c r="AR46" s="29">
        <v>251</v>
      </c>
      <c r="AS46" s="29">
        <v>286</v>
      </c>
      <c r="AT46" s="29">
        <v>316</v>
      </c>
      <c r="AU46" s="29">
        <v>365</v>
      </c>
      <c r="AV46" s="29">
        <v>361</v>
      </c>
      <c r="AW46" s="29">
        <v>403</v>
      </c>
      <c r="AX46" s="29">
        <v>406</v>
      </c>
      <c r="AY46" s="29">
        <v>411</v>
      </c>
      <c r="AZ46" s="29">
        <v>342</v>
      </c>
      <c r="BA46" s="29">
        <v>358</v>
      </c>
      <c r="BB46" s="29">
        <v>363</v>
      </c>
      <c r="BC46" s="29">
        <v>437</v>
      </c>
      <c r="BD46" s="29">
        <v>458</v>
      </c>
      <c r="BE46" s="29">
        <v>417</v>
      </c>
      <c r="BF46" s="29">
        <v>508</v>
      </c>
      <c r="BG46" s="29">
        <v>478</v>
      </c>
      <c r="BH46" s="29">
        <v>359</v>
      </c>
      <c r="BI46" s="29">
        <v>435</v>
      </c>
      <c r="BJ46" s="29">
        <v>433</v>
      </c>
      <c r="BK46">
        <v>473</v>
      </c>
      <c r="BL46">
        <v>374</v>
      </c>
      <c r="BM46">
        <v>460</v>
      </c>
      <c r="BN46">
        <v>500</v>
      </c>
      <c r="BO46">
        <v>537</v>
      </c>
      <c r="BP46">
        <v>449</v>
      </c>
      <c r="BQ46">
        <v>516</v>
      </c>
      <c r="BR46">
        <v>511</v>
      </c>
      <c r="BS46">
        <v>509</v>
      </c>
      <c r="BT46">
        <v>426</v>
      </c>
      <c r="BU46">
        <v>485</v>
      </c>
    </row>
    <row r="47" spans="1:133" x14ac:dyDescent="0.25">
      <c r="A47">
        <f>+A46+1</f>
        <v>33</v>
      </c>
      <c r="B47" t="s">
        <v>1372</v>
      </c>
      <c r="C47" t="s">
        <v>22</v>
      </c>
      <c r="D47" t="s">
        <v>1392</v>
      </c>
      <c r="E47">
        <v>1</v>
      </c>
      <c r="H47" s="30">
        <f t="shared" si="51"/>
        <v>12080</v>
      </c>
      <c r="I47" s="30"/>
      <c r="J47" s="29">
        <f t="shared" si="52"/>
        <v>180</v>
      </c>
      <c r="K47" s="29">
        <f t="shared" si="53"/>
        <v>877</v>
      </c>
      <c r="L47" s="29">
        <f t="shared" si="54"/>
        <v>1734</v>
      </c>
      <c r="M47" s="29">
        <f t="shared" si="55"/>
        <v>2226</v>
      </c>
      <c r="N47" s="29">
        <f t="shared" si="56"/>
        <v>2750</v>
      </c>
      <c r="O47" s="29">
        <f t="shared" si="57"/>
        <v>4313</v>
      </c>
      <c r="P47" s="29">
        <f t="shared" si="58"/>
        <v>0</v>
      </c>
      <c r="Q47" s="29">
        <f t="shared" si="59"/>
        <v>0</v>
      </c>
      <c r="R47" s="29">
        <f t="shared" si="60"/>
        <v>0</v>
      </c>
      <c r="S47" s="29">
        <f t="shared" si="61"/>
        <v>0</v>
      </c>
      <c r="T47" s="29">
        <f t="shared" si="62"/>
        <v>0</v>
      </c>
      <c r="U47" s="29">
        <f t="shared" si="63"/>
        <v>0</v>
      </c>
      <c r="V47" s="29">
        <f t="shared" ref="V47:V75" si="124">SUM(CK47:CN47)</f>
        <v>0</v>
      </c>
      <c r="W47" s="29">
        <f t="shared" ref="W47:W75" si="125">SUM(CO47:CR47)</f>
        <v>0</v>
      </c>
      <c r="X47" s="29">
        <f t="shared" si="64"/>
        <v>0</v>
      </c>
      <c r="Y47" s="29">
        <f t="shared" si="65"/>
        <v>0</v>
      </c>
      <c r="Z47" s="29">
        <f t="shared" si="66"/>
        <v>0</v>
      </c>
      <c r="AA47" s="29">
        <f t="shared" si="67"/>
        <v>0</v>
      </c>
      <c r="AB47" s="29">
        <f t="shared" si="68"/>
        <v>0</v>
      </c>
      <c r="AC47" s="29">
        <f t="shared" si="69"/>
        <v>0</v>
      </c>
      <c r="AD47" s="29">
        <f t="shared" si="70"/>
        <v>0</v>
      </c>
      <c r="AE47" s="29">
        <f t="shared" si="71"/>
        <v>0</v>
      </c>
      <c r="AF47" s="29">
        <f t="shared" si="72"/>
        <v>0</v>
      </c>
      <c r="AG47" s="29">
        <f t="shared" si="73"/>
        <v>0</v>
      </c>
      <c r="AH47" s="29">
        <f t="shared" si="74"/>
        <v>0</v>
      </c>
      <c r="AO47" s="29">
        <v>37</v>
      </c>
      <c r="AP47" s="29">
        <v>39</v>
      </c>
      <c r="AQ47" s="29">
        <v>41</v>
      </c>
      <c r="AR47" s="29">
        <v>63</v>
      </c>
      <c r="AS47" s="29">
        <v>156</v>
      </c>
      <c r="AT47" s="29">
        <v>213</v>
      </c>
      <c r="AU47" s="29">
        <v>231</v>
      </c>
      <c r="AV47" s="29">
        <v>277</v>
      </c>
      <c r="AW47" s="29">
        <v>351</v>
      </c>
      <c r="AX47" s="29">
        <v>429</v>
      </c>
      <c r="AY47" s="29">
        <v>453</v>
      </c>
      <c r="AZ47" s="29">
        <v>501</v>
      </c>
      <c r="BA47" s="29">
        <v>501</v>
      </c>
      <c r="BB47" s="29">
        <v>561</v>
      </c>
      <c r="BC47" s="29">
        <v>612</v>
      </c>
      <c r="BD47" s="29">
        <v>552</v>
      </c>
      <c r="BE47" s="29">
        <v>602</v>
      </c>
      <c r="BF47" s="29">
        <v>680</v>
      </c>
      <c r="BG47" s="29">
        <v>686</v>
      </c>
      <c r="BH47" s="29">
        <v>782</v>
      </c>
      <c r="BI47" s="29">
        <v>892</v>
      </c>
      <c r="BJ47" s="29">
        <v>961</v>
      </c>
      <c r="BK47">
        <v>1137</v>
      </c>
      <c r="BL47">
        <v>1323</v>
      </c>
    </row>
    <row r="48" spans="1:133" x14ac:dyDescent="0.25">
      <c r="A48">
        <f>+A53+1</f>
        <v>41</v>
      </c>
      <c r="B48" t="s">
        <v>640</v>
      </c>
      <c r="C48" t="s">
        <v>19</v>
      </c>
      <c r="D48" t="s">
        <v>1376</v>
      </c>
      <c r="H48" s="30">
        <f>SUM(AO48:GL48)</f>
        <v>9781</v>
      </c>
      <c r="I48" s="30"/>
      <c r="J48" s="29">
        <f>SUM(AO48:AR48)</f>
        <v>143.19999999999999</v>
      </c>
      <c r="K48" s="29">
        <f>SUM(AS48:AV48)</f>
        <v>447.4</v>
      </c>
      <c r="L48" s="29">
        <f>SUM(AW48:AZ48)</f>
        <v>654.29999999999995</v>
      </c>
      <c r="M48" s="29">
        <f>SUM(BA48:BD48)</f>
        <v>770.7</v>
      </c>
      <c r="N48" s="29">
        <f>SUM(BE48:BH48)</f>
        <v>836.10000000000014</v>
      </c>
      <c r="O48" s="29">
        <f>SUM(BI48:BL48)</f>
        <v>965.9</v>
      </c>
      <c r="P48" s="29">
        <f>SUM(BM48:BP48)</f>
        <v>1034.0999999999999</v>
      </c>
      <c r="Q48" s="29">
        <f>SUM(BQ48:BT48)</f>
        <v>1022.8</v>
      </c>
      <c r="R48" s="29">
        <f>SUM(BU48:BX48)</f>
        <v>978</v>
      </c>
      <c r="S48" s="29">
        <f>SUM(BY48:CB48)</f>
        <v>967.9</v>
      </c>
      <c r="T48" s="29">
        <f>SUM(CC48:CF48)</f>
        <v>968.4</v>
      </c>
      <c r="U48" s="29">
        <f>SUM(CG48:CJ48)</f>
        <v>992.2</v>
      </c>
      <c r="V48" s="29">
        <f>SUM(CK48:CN48)</f>
        <v>0</v>
      </c>
      <c r="W48" s="29">
        <f>SUM(CO48:CR48)</f>
        <v>0</v>
      </c>
      <c r="X48" s="29">
        <f>SUM(CS48:CV48)</f>
        <v>0</v>
      </c>
      <c r="Y48" s="29">
        <f>SUM(CW48:CZ48)</f>
        <v>0</v>
      </c>
      <c r="Z48" s="29">
        <f>SUM(DA48:DD48)</f>
        <v>0</v>
      </c>
      <c r="AA48" s="29">
        <f>SUM(DE48:DH48)</f>
        <v>0</v>
      </c>
      <c r="AB48" s="29">
        <f>SUM(DI48:DL48)</f>
        <v>0</v>
      </c>
      <c r="AC48" s="29">
        <f>SUM(DM48:DP48)</f>
        <v>0</v>
      </c>
      <c r="AD48" s="29">
        <f>SUM(DQ48:DT48)</f>
        <v>0</v>
      </c>
      <c r="AE48" s="29">
        <f>SUM(DU48:DX48)</f>
        <v>0</v>
      </c>
      <c r="AF48" s="29">
        <f>SUM(DY48:EB48)</f>
        <v>0</v>
      </c>
      <c r="AG48" s="29">
        <f>SUM(EC48:EF48)</f>
        <v>0</v>
      </c>
      <c r="AH48" s="29">
        <f>SUM(EG48:EJ48)</f>
        <v>0</v>
      </c>
      <c r="AO48" s="29">
        <v>13.7</v>
      </c>
      <c r="AP48" s="29">
        <v>28.4</v>
      </c>
      <c r="AQ48" s="29">
        <v>33.6</v>
      </c>
      <c r="AR48" s="29">
        <v>67.5</v>
      </c>
      <c r="AS48" s="29">
        <v>87.7</v>
      </c>
      <c r="AT48" s="29">
        <v>111.2</v>
      </c>
      <c r="AU48" s="29">
        <v>117.5</v>
      </c>
      <c r="AV48" s="29">
        <v>131</v>
      </c>
      <c r="AW48" s="29">
        <v>147</v>
      </c>
      <c r="AX48" s="29">
        <v>159</v>
      </c>
      <c r="AY48" s="29">
        <v>177.1</v>
      </c>
      <c r="AZ48" s="29">
        <v>171.2</v>
      </c>
      <c r="BA48" s="29">
        <v>186.3</v>
      </c>
      <c r="BB48" s="29">
        <v>196</v>
      </c>
      <c r="BC48" s="29">
        <v>204.8</v>
      </c>
      <c r="BD48" s="29">
        <v>183.6</v>
      </c>
      <c r="BE48" s="29">
        <v>218.8</v>
      </c>
      <c r="BF48" s="29">
        <v>198.4</v>
      </c>
      <c r="BG48" s="29">
        <v>220.6</v>
      </c>
      <c r="BH48" s="29">
        <v>198.3</v>
      </c>
      <c r="BI48" s="29">
        <v>241.8</v>
      </c>
      <c r="BJ48" s="29">
        <v>240</v>
      </c>
      <c r="BK48" s="29">
        <v>245.1</v>
      </c>
      <c r="BL48" s="29">
        <v>239</v>
      </c>
      <c r="BM48" s="29">
        <v>256.7</v>
      </c>
      <c r="BN48" s="29">
        <v>252.7</v>
      </c>
      <c r="BO48" s="29">
        <v>284.2</v>
      </c>
      <c r="BP48" s="29">
        <v>240.5</v>
      </c>
      <c r="BQ48" s="29">
        <v>268.7</v>
      </c>
      <c r="BR48" s="29">
        <v>253.4</v>
      </c>
      <c r="BS48" s="29">
        <v>270.39999999999998</v>
      </c>
      <c r="BT48" s="29">
        <v>230.3</v>
      </c>
      <c r="BU48" s="29">
        <v>231.3</v>
      </c>
      <c r="BV48" s="29">
        <v>232.1</v>
      </c>
      <c r="BW48" s="29">
        <v>277.8</v>
      </c>
      <c r="BX48" s="29">
        <v>236.8</v>
      </c>
      <c r="BY48" s="29">
        <v>260.3</v>
      </c>
      <c r="BZ48" s="29">
        <v>224.1</v>
      </c>
      <c r="CA48" s="29">
        <v>253.6</v>
      </c>
      <c r="CB48" s="29">
        <v>229.9</v>
      </c>
      <c r="CC48" s="29">
        <v>248.9</v>
      </c>
      <c r="CD48" s="29">
        <v>236</v>
      </c>
      <c r="CE48" s="29">
        <v>258.60000000000002</v>
      </c>
      <c r="CF48" s="29">
        <v>224.9</v>
      </c>
      <c r="CG48" s="29">
        <v>253.7</v>
      </c>
      <c r="CH48" s="29">
        <v>245.5</v>
      </c>
      <c r="CI48" s="29">
        <v>262</v>
      </c>
      <c r="CJ48" s="29">
        <v>231</v>
      </c>
    </row>
    <row r="49" spans="1:108" x14ac:dyDescent="0.25">
      <c r="A49">
        <f>+A42+1</f>
        <v>35</v>
      </c>
      <c r="B49" t="s">
        <v>655</v>
      </c>
      <c r="C49" t="s">
        <v>656</v>
      </c>
      <c r="D49" t="s">
        <v>2025</v>
      </c>
      <c r="H49" s="30">
        <f t="shared" si="51"/>
        <v>9091</v>
      </c>
      <c r="I49" s="30"/>
      <c r="J49" s="29">
        <f t="shared" si="52"/>
        <v>200</v>
      </c>
      <c r="K49" s="29">
        <f t="shared" si="53"/>
        <v>261</v>
      </c>
      <c r="L49" s="29">
        <f t="shared" si="54"/>
        <v>289</v>
      </c>
      <c r="M49" s="29">
        <f t="shared" si="55"/>
        <v>340</v>
      </c>
      <c r="N49" s="29">
        <f t="shared" si="56"/>
        <v>353</v>
      </c>
      <c r="O49" s="29">
        <f t="shared" si="57"/>
        <v>481</v>
      </c>
      <c r="P49" s="29">
        <f t="shared" si="58"/>
        <v>705</v>
      </c>
      <c r="Q49" s="29">
        <f t="shared" si="59"/>
        <v>917</v>
      </c>
      <c r="R49" s="29">
        <f t="shared" si="60"/>
        <v>1130</v>
      </c>
      <c r="S49" s="29">
        <f t="shared" si="61"/>
        <v>1198</v>
      </c>
      <c r="T49" s="29">
        <f t="shared" si="62"/>
        <v>1532</v>
      </c>
      <c r="U49" s="29">
        <f t="shared" si="63"/>
        <v>1685</v>
      </c>
      <c r="V49" s="29">
        <f t="shared" si="124"/>
        <v>0</v>
      </c>
      <c r="W49" s="29">
        <f t="shared" si="125"/>
        <v>0</v>
      </c>
      <c r="X49" s="29">
        <f t="shared" si="64"/>
        <v>0</v>
      </c>
      <c r="Y49" s="29">
        <f t="shared" si="65"/>
        <v>0</v>
      </c>
      <c r="Z49" s="29">
        <f t="shared" si="66"/>
        <v>0</v>
      </c>
      <c r="AA49" s="29">
        <f t="shared" si="67"/>
        <v>0</v>
      </c>
      <c r="AB49" s="29">
        <f t="shared" si="68"/>
        <v>0</v>
      </c>
      <c r="AC49" s="29">
        <f t="shared" si="69"/>
        <v>0</v>
      </c>
      <c r="AD49" s="29">
        <f t="shared" si="70"/>
        <v>0</v>
      </c>
      <c r="AE49" s="29">
        <f t="shared" si="71"/>
        <v>0</v>
      </c>
      <c r="AF49" s="29">
        <f t="shared" si="72"/>
        <v>0</v>
      </c>
      <c r="AG49" s="29">
        <f t="shared" si="73"/>
        <v>0</v>
      </c>
      <c r="AH49" s="29">
        <f t="shared" si="74"/>
        <v>0</v>
      </c>
      <c r="AO49" s="27">
        <v>41</v>
      </c>
      <c r="AP49" s="27">
        <v>47</v>
      </c>
      <c r="AQ49" s="27">
        <v>52</v>
      </c>
      <c r="AR49">
        <v>60</v>
      </c>
      <c r="AS49">
        <v>58</v>
      </c>
      <c r="AT49">
        <v>60</v>
      </c>
      <c r="AU49">
        <v>68</v>
      </c>
      <c r="AV49">
        <v>75</v>
      </c>
      <c r="AW49">
        <v>63</v>
      </c>
      <c r="AX49">
        <v>69</v>
      </c>
      <c r="AY49">
        <v>75</v>
      </c>
      <c r="AZ49">
        <v>82</v>
      </c>
      <c r="BA49">
        <v>73</v>
      </c>
      <c r="BB49">
        <v>82</v>
      </c>
      <c r="BC49">
        <v>90</v>
      </c>
      <c r="BD49">
        <v>95</v>
      </c>
      <c r="BE49">
        <v>85</v>
      </c>
      <c r="BF49">
        <v>87</v>
      </c>
      <c r="BG49">
        <v>89</v>
      </c>
      <c r="BH49">
        <v>92</v>
      </c>
      <c r="BI49">
        <v>90</v>
      </c>
      <c r="BJ49">
        <v>113</v>
      </c>
      <c r="BK49">
        <v>139</v>
      </c>
      <c r="BL49">
        <v>139</v>
      </c>
      <c r="BM49">
        <v>148</v>
      </c>
      <c r="BN49">
        <v>163</v>
      </c>
      <c r="BO49">
        <v>185</v>
      </c>
      <c r="BP49">
        <v>209</v>
      </c>
      <c r="BQ49">
        <v>204</v>
      </c>
      <c r="BR49">
        <v>240</v>
      </c>
      <c r="BS49">
        <v>217</v>
      </c>
      <c r="BT49">
        <v>256</v>
      </c>
      <c r="BU49">
        <v>255</v>
      </c>
      <c r="BV49">
        <v>278</v>
      </c>
      <c r="BW49">
        <v>284</v>
      </c>
      <c r="BX49">
        <v>313</v>
      </c>
      <c r="BY49">
        <v>299</v>
      </c>
      <c r="BZ49">
        <v>224</v>
      </c>
      <c r="CA49">
        <v>320</v>
      </c>
      <c r="CB49">
        <v>355</v>
      </c>
      <c r="CC49">
        <v>340</v>
      </c>
      <c r="CD49">
        <v>387</v>
      </c>
      <c r="CE49">
        <v>369</v>
      </c>
      <c r="CF49">
        <v>436</v>
      </c>
      <c r="CG49">
        <v>395</v>
      </c>
      <c r="CH49">
        <v>426</v>
      </c>
      <c r="CI49">
        <v>423</v>
      </c>
      <c r="CJ49">
        <v>441</v>
      </c>
    </row>
    <row r="50" spans="1:108" x14ac:dyDescent="0.25">
      <c r="A50">
        <f>+A27+1</f>
        <v>37</v>
      </c>
      <c r="B50" t="s">
        <v>649</v>
      </c>
      <c r="C50" t="s">
        <v>14</v>
      </c>
      <c r="D50" t="s">
        <v>1378</v>
      </c>
      <c r="H50" s="30">
        <f t="shared" si="51"/>
        <v>8385</v>
      </c>
      <c r="I50" s="30"/>
      <c r="J50" s="29">
        <f t="shared" si="52"/>
        <v>416</v>
      </c>
      <c r="K50" s="29">
        <f t="shared" si="53"/>
        <v>917</v>
      </c>
      <c r="L50" s="29">
        <f t="shared" si="54"/>
        <v>1235</v>
      </c>
      <c r="M50" s="29">
        <f t="shared" si="55"/>
        <v>1816</v>
      </c>
      <c r="N50" s="29">
        <f t="shared" si="56"/>
        <v>2609</v>
      </c>
      <c r="O50" s="29">
        <f t="shared" si="57"/>
        <v>1392</v>
      </c>
      <c r="P50" s="29">
        <f t="shared" si="58"/>
        <v>0</v>
      </c>
      <c r="Q50" s="29">
        <f t="shared" si="59"/>
        <v>0</v>
      </c>
      <c r="R50" s="29">
        <f t="shared" si="60"/>
        <v>0</v>
      </c>
      <c r="S50" s="29">
        <f t="shared" si="61"/>
        <v>0</v>
      </c>
      <c r="T50" s="29">
        <f t="shared" si="62"/>
        <v>0</v>
      </c>
      <c r="U50" s="29">
        <f t="shared" si="63"/>
        <v>0</v>
      </c>
      <c r="V50" s="29">
        <f t="shared" si="124"/>
        <v>0</v>
      </c>
      <c r="W50" s="29">
        <f t="shared" si="125"/>
        <v>0</v>
      </c>
      <c r="X50" s="29">
        <f t="shared" si="64"/>
        <v>0</v>
      </c>
      <c r="Y50" s="29">
        <f t="shared" si="65"/>
        <v>0</v>
      </c>
      <c r="Z50" s="29">
        <f t="shared" si="66"/>
        <v>0</v>
      </c>
      <c r="AA50" s="29">
        <f t="shared" si="67"/>
        <v>0</v>
      </c>
      <c r="AB50" s="29">
        <f t="shared" si="68"/>
        <v>0</v>
      </c>
      <c r="AC50" s="29">
        <f t="shared" si="69"/>
        <v>0</v>
      </c>
      <c r="AD50" s="29">
        <f t="shared" si="70"/>
        <v>0</v>
      </c>
      <c r="AE50" s="29">
        <f t="shared" si="71"/>
        <v>0</v>
      </c>
      <c r="AF50" s="29">
        <f t="shared" si="72"/>
        <v>0</v>
      </c>
      <c r="AG50" s="29">
        <f t="shared" si="73"/>
        <v>0</v>
      </c>
      <c r="AH50" s="29">
        <f t="shared" si="74"/>
        <v>0</v>
      </c>
      <c r="AO50" s="29">
        <v>47</v>
      </c>
      <c r="AP50" s="29">
        <v>72</v>
      </c>
      <c r="AQ50" s="29">
        <v>126</v>
      </c>
      <c r="AR50" s="29">
        <v>171</v>
      </c>
      <c r="AS50" s="29">
        <v>175</v>
      </c>
      <c r="AT50" s="29">
        <v>217</v>
      </c>
      <c r="AU50" s="29">
        <v>235</v>
      </c>
      <c r="AV50" s="29">
        <v>290</v>
      </c>
      <c r="AW50" s="29">
        <v>270</v>
      </c>
      <c r="AX50" s="29">
        <v>296</v>
      </c>
      <c r="AY50" s="29">
        <v>342</v>
      </c>
      <c r="AZ50" s="29">
        <v>327</v>
      </c>
      <c r="BA50" s="29">
        <v>382</v>
      </c>
      <c r="BB50" s="29">
        <v>418</v>
      </c>
      <c r="BC50" s="29">
        <v>479</v>
      </c>
      <c r="BD50" s="29">
        <v>537</v>
      </c>
      <c r="BE50" s="29">
        <v>693</v>
      </c>
      <c r="BF50" s="29">
        <v>590</v>
      </c>
      <c r="BG50" s="29">
        <v>597</v>
      </c>
      <c r="BH50" s="29">
        <v>729</v>
      </c>
      <c r="BI50" s="29">
        <v>752</v>
      </c>
      <c r="BJ50" s="29">
        <v>640</v>
      </c>
    </row>
    <row r="51" spans="1:108" x14ac:dyDescent="0.25">
      <c r="A51">
        <f>+A75+1</f>
        <v>63</v>
      </c>
      <c r="B51" t="s">
        <v>1442</v>
      </c>
      <c r="C51" t="s">
        <v>19</v>
      </c>
      <c r="D51" t="s">
        <v>1376</v>
      </c>
      <c r="G51" t="s">
        <v>1446</v>
      </c>
      <c r="H51" s="30">
        <f>SUM(AO51:GL51)</f>
        <v>8274.7000000000007</v>
      </c>
      <c r="I51" s="30"/>
      <c r="J51" s="29">
        <f t="shared" ref="J51" si="126">SUM(AO51:AR51)</f>
        <v>389</v>
      </c>
      <c r="K51" s="29">
        <f t="shared" ref="K51" si="127">SUM(AS51:AV51)</f>
        <v>397.7</v>
      </c>
      <c r="L51" s="29">
        <f t="shared" ref="L51" si="128">SUM(AW51:AZ51)</f>
        <v>418.50000000000006</v>
      </c>
      <c r="M51" s="29">
        <f t="shared" ref="M51" si="129">SUM(BA51:BD51)</f>
        <v>196.6</v>
      </c>
      <c r="N51" s="29">
        <f t="shared" ref="N51" si="130">SUM(BE51:BH51)</f>
        <v>0</v>
      </c>
      <c r="O51" s="29">
        <f t="shared" ref="O51" si="131">SUM(BI51:BL51)</f>
        <v>184.2</v>
      </c>
      <c r="P51" s="29">
        <f t="shared" ref="P51" si="132">SUM(BM51:BP51)</f>
        <v>564.79999999999995</v>
      </c>
      <c r="Q51" s="29">
        <f t="shared" ref="Q51" si="133">SUM(BQ51:BT51)</f>
        <v>673.3</v>
      </c>
      <c r="R51" s="29">
        <f t="shared" ref="R51" si="134">SUM(BU51:BX51)</f>
        <v>641.1</v>
      </c>
      <c r="S51" s="29">
        <f t="shared" ref="S51" si="135">SUM(BY51:CB51)</f>
        <v>604.1</v>
      </c>
      <c r="T51" s="29">
        <f t="shared" ref="T51" si="136">SUM(CC51:CF51)</f>
        <v>555.79999999999995</v>
      </c>
      <c r="U51" s="29">
        <f t="shared" ref="U51" si="137">SUM(CG51:CJ51)</f>
        <v>528</v>
      </c>
      <c r="V51" s="29">
        <f t="shared" ref="V51" si="138">SUM(CK51:CN51)</f>
        <v>548.6</v>
      </c>
      <c r="W51" s="29">
        <f t="shared" ref="W51" si="139">SUM(CO51:CR51)</f>
        <v>573.70000000000005</v>
      </c>
      <c r="X51" s="29">
        <f t="shared" ref="X51" si="140">SUM(CS51:CV51)</f>
        <v>611.20000000000005</v>
      </c>
      <c r="Y51" s="29">
        <f t="shared" ref="Y51" si="141">SUM(CW51:CZ51)</f>
        <v>631.79999999999995</v>
      </c>
      <c r="Z51" s="29">
        <f t="shared" ref="Z51" si="142">SUM(DA51:DD51)</f>
        <v>756.3</v>
      </c>
      <c r="AA51" s="29">
        <f t="shared" ref="AA51" si="143">SUM(DE51:DH51)</f>
        <v>0</v>
      </c>
      <c r="AB51" s="29">
        <f t="shared" ref="AB51" si="144">SUM(DI51:DL51)</f>
        <v>0</v>
      </c>
      <c r="AC51" s="29">
        <f t="shared" ref="AC51" si="145">SUM(DM51:DP51)</f>
        <v>0</v>
      </c>
      <c r="AD51" s="29">
        <f t="shared" ref="AD51" si="146">SUM(DQ51:DT51)</f>
        <v>0</v>
      </c>
      <c r="AE51" s="29">
        <f t="shared" ref="AE51" si="147">SUM(DU51:DX51)</f>
        <v>0</v>
      </c>
      <c r="AF51" s="29">
        <f t="shared" ref="AF51" si="148">SUM(DY51:EB51)</f>
        <v>0</v>
      </c>
      <c r="AG51" s="29">
        <f t="shared" ref="AG51" si="149">SUM(EC51:EF51)</f>
        <v>0</v>
      </c>
      <c r="AH51" s="29">
        <f t="shared" ref="AH51" si="150">SUM(EG51:EJ51)</f>
        <v>0</v>
      </c>
      <c r="AO51" s="29">
        <v>99.7</v>
      </c>
      <c r="AP51" s="29">
        <v>101.9</v>
      </c>
      <c r="AQ51" s="29">
        <v>95</v>
      </c>
      <c r="AR51" s="29">
        <v>92.4</v>
      </c>
      <c r="AS51" s="29">
        <v>103.8</v>
      </c>
      <c r="AT51" s="29">
        <v>95.4</v>
      </c>
      <c r="AU51" s="29">
        <v>94.5</v>
      </c>
      <c r="AV51" s="29">
        <v>104</v>
      </c>
      <c r="AW51" s="29">
        <v>100.1</v>
      </c>
      <c r="AX51" s="29">
        <v>97.2</v>
      </c>
      <c r="AY51" s="29">
        <v>107.9</v>
      </c>
      <c r="AZ51" s="29">
        <v>113.3</v>
      </c>
      <c r="BA51" s="29">
        <v>110</v>
      </c>
      <c r="BB51" s="29">
        <v>86.6</v>
      </c>
      <c r="BC51" s="28"/>
      <c r="BD51" s="28"/>
      <c r="BE51" s="28"/>
      <c r="BF51" s="28"/>
      <c r="BG51" s="28"/>
      <c r="BH51" s="28"/>
      <c r="BI51" s="28"/>
      <c r="BJ51" s="28"/>
      <c r="BK51" s="28">
        <v>96</v>
      </c>
      <c r="BL51" s="28">
        <v>88.2</v>
      </c>
      <c r="BM51" s="28">
        <v>134.6</v>
      </c>
      <c r="BN51" s="28">
        <v>85.9</v>
      </c>
      <c r="BO51" s="28">
        <v>176.2</v>
      </c>
      <c r="BP51" s="28">
        <v>168.1</v>
      </c>
      <c r="BQ51" s="28">
        <v>180.6</v>
      </c>
      <c r="BR51" s="28">
        <v>184.6</v>
      </c>
      <c r="BS51" s="28">
        <v>153.69999999999999</v>
      </c>
      <c r="BT51" s="28">
        <v>154.4</v>
      </c>
      <c r="BU51" s="28">
        <v>159.1</v>
      </c>
      <c r="BV51" s="28">
        <v>163.5</v>
      </c>
      <c r="BW51" s="28">
        <v>168.9</v>
      </c>
      <c r="BX51" s="28">
        <v>149.6</v>
      </c>
      <c r="BY51" s="28">
        <v>166.4</v>
      </c>
      <c r="BZ51" s="28">
        <v>159.5</v>
      </c>
      <c r="CA51" s="28">
        <v>159.80000000000001</v>
      </c>
      <c r="CB51" s="28">
        <v>118.4</v>
      </c>
      <c r="CC51" s="28">
        <v>159.30000000000001</v>
      </c>
      <c r="CD51" s="28">
        <v>128.6</v>
      </c>
      <c r="CE51" s="28">
        <f>543.4-CD51-CC51-CB51</f>
        <v>137.09999999999994</v>
      </c>
      <c r="CF51" s="28">
        <v>130.80000000000001</v>
      </c>
      <c r="CG51" s="28">
        <v>129.5</v>
      </c>
      <c r="CH51" s="28">
        <v>136.4</v>
      </c>
      <c r="CI51" s="28">
        <f>480.1+56.3-CH51-CG51-CF51</f>
        <v>139.69999999999999</v>
      </c>
      <c r="CJ51" s="28">
        <v>122.4</v>
      </c>
      <c r="CK51" s="28">
        <v>147</v>
      </c>
      <c r="CL51" s="28">
        <v>134.30000000000001</v>
      </c>
      <c r="CM51" s="28">
        <f>548.3-CL51-CK51-CJ51</f>
        <v>144.59999999999994</v>
      </c>
      <c r="CN51" s="28">
        <v>122.7</v>
      </c>
      <c r="CO51" s="28">
        <v>140.80000000000001</v>
      </c>
      <c r="CP51" s="28">
        <v>144.9</v>
      </c>
      <c r="CQ51" s="28">
        <f>566.5-CP51-CO51-CN51</f>
        <v>158.10000000000002</v>
      </c>
      <c r="CR51" s="28">
        <v>129.9</v>
      </c>
      <c r="CS51" s="28">
        <v>162.5</v>
      </c>
      <c r="CT51" s="28">
        <v>153.9</v>
      </c>
      <c r="CU51" s="28">
        <f>596.5-CT51-CS51-CR51</f>
        <v>150.20000000000002</v>
      </c>
      <c r="CV51" s="28">
        <v>144.6</v>
      </c>
      <c r="CW51" s="28">
        <v>155.80000000000001</v>
      </c>
      <c r="CX51" s="29">
        <v>152</v>
      </c>
      <c r="CY51" s="29">
        <v>175</v>
      </c>
      <c r="CZ51" s="29">
        <v>149</v>
      </c>
      <c r="DA51" s="29">
        <v>183.7</v>
      </c>
      <c r="DB51" s="29">
        <v>198.6</v>
      </c>
      <c r="DC51" s="29">
        <v>196</v>
      </c>
      <c r="DD51" s="29">
        <v>178</v>
      </c>
    </row>
    <row r="52" spans="1:108" x14ac:dyDescent="0.25">
      <c r="A52">
        <f>+A55+1</f>
        <v>44</v>
      </c>
      <c r="B52" t="s">
        <v>637</v>
      </c>
      <c r="C52" t="s">
        <v>19</v>
      </c>
      <c r="D52" t="s">
        <v>1380</v>
      </c>
      <c r="H52" s="30">
        <f>SUM(AO52:GL52)</f>
        <v>7457.2999999999993</v>
      </c>
      <c r="I52" s="30"/>
      <c r="J52" s="29">
        <f>SUM(AO52:AR52)</f>
        <v>38.299999999999997</v>
      </c>
      <c r="K52" s="29">
        <f>SUM(AS52:AV52)</f>
        <v>191.5</v>
      </c>
      <c r="L52" s="29">
        <f>SUM(AW52:AZ52)</f>
        <v>667.3</v>
      </c>
      <c r="M52" s="29">
        <f>SUM(BA52:BD52)</f>
        <v>975.5</v>
      </c>
      <c r="N52" s="29">
        <f>SUM(BE52:BH52)</f>
        <v>1164.5</v>
      </c>
      <c r="O52" s="29">
        <f>SUM(BI52:BL52)</f>
        <v>987.59999999999991</v>
      </c>
      <c r="P52" s="29">
        <f>SUM(BM52:BP52)</f>
        <v>800.90000000000009</v>
      </c>
      <c r="Q52" s="29">
        <f>SUM(BQ52:BT52)</f>
        <v>758.2</v>
      </c>
      <c r="R52" s="29">
        <f>SUM(BU52:BX52)</f>
        <v>703.2</v>
      </c>
      <c r="S52" s="29">
        <f>SUM(BY52:CB52)</f>
        <v>657.1</v>
      </c>
      <c r="T52" s="29">
        <f>SUM(CC52:CF52)</f>
        <v>513.20000000000005</v>
      </c>
      <c r="U52" s="29">
        <f>SUM(CG52:CJ52)</f>
        <v>0</v>
      </c>
      <c r="V52" s="29">
        <f>SUM(CK52:CN52)</f>
        <v>0</v>
      </c>
      <c r="W52" s="29">
        <f>SUM(CO52:CR52)</f>
        <v>0</v>
      </c>
      <c r="X52" s="29">
        <f>SUM(CS52:CV52)</f>
        <v>0</v>
      </c>
      <c r="Y52" s="29">
        <f>SUM(CW52:CZ52)</f>
        <v>0</v>
      </c>
      <c r="Z52" s="29">
        <f>SUM(DA52:DD52)</f>
        <v>0</v>
      </c>
      <c r="AA52" s="29">
        <f>SUM(DE52:DH52)</f>
        <v>0</v>
      </c>
      <c r="AB52" s="29">
        <f>SUM(DI52:DL52)</f>
        <v>0</v>
      </c>
      <c r="AC52" s="29">
        <f>SUM(DM52:DP52)</f>
        <v>0</v>
      </c>
      <c r="AD52" s="29">
        <f>SUM(DQ52:DT52)</f>
        <v>0</v>
      </c>
      <c r="AE52" s="29">
        <f>SUM(DU52:DX52)</f>
        <v>0</v>
      </c>
      <c r="AF52" s="29">
        <f>SUM(DY52:EB52)</f>
        <v>0</v>
      </c>
      <c r="AG52" s="29">
        <f>SUM(EC52:EF52)</f>
        <v>0</v>
      </c>
      <c r="AH52" s="29">
        <f>SUM(EG52:EJ52)</f>
        <v>0</v>
      </c>
      <c r="AO52" s="29">
        <v>3.8</v>
      </c>
      <c r="AP52" s="29">
        <v>7.3</v>
      </c>
      <c r="AQ52" s="29">
        <v>10.9</v>
      </c>
      <c r="AR52" s="29">
        <v>16.3</v>
      </c>
      <c r="AS52" s="29">
        <v>19.399999999999999</v>
      </c>
      <c r="AT52" s="29">
        <v>39.5</v>
      </c>
      <c r="AU52" s="29">
        <v>46</v>
      </c>
      <c r="AV52" s="29">
        <v>86.6</v>
      </c>
      <c r="AW52" s="29">
        <v>145.69999999999999</v>
      </c>
      <c r="AX52" s="29">
        <v>153.80000000000001</v>
      </c>
      <c r="AY52" s="29">
        <v>166</v>
      </c>
      <c r="AZ52" s="29">
        <v>201.8</v>
      </c>
      <c r="BA52" s="29">
        <v>201.2</v>
      </c>
      <c r="BB52" s="29">
        <v>232.2</v>
      </c>
      <c r="BC52" s="29">
        <v>251.4</v>
      </c>
      <c r="BD52" s="29">
        <v>290.7</v>
      </c>
      <c r="BE52" s="29">
        <v>263.2</v>
      </c>
      <c r="BF52" s="29">
        <v>307.2</v>
      </c>
      <c r="BG52" s="29">
        <v>303.7</v>
      </c>
      <c r="BH52" s="29">
        <v>290.39999999999998</v>
      </c>
      <c r="BI52" s="29">
        <v>248.2</v>
      </c>
      <c r="BJ52" s="29">
        <v>282.10000000000002</v>
      </c>
      <c r="BK52" s="29">
        <v>246.6</v>
      </c>
      <c r="BL52" s="29">
        <v>210.7</v>
      </c>
      <c r="BM52" s="29">
        <v>192.8</v>
      </c>
      <c r="BN52" s="29">
        <v>242.4</v>
      </c>
      <c r="BO52" s="29">
        <v>191.5</v>
      </c>
      <c r="BP52" s="29">
        <v>174.2</v>
      </c>
      <c r="BQ52" s="29">
        <v>193</v>
      </c>
      <c r="BR52" s="29">
        <v>201.7</v>
      </c>
      <c r="BS52" s="29">
        <v>209.3</v>
      </c>
      <c r="BT52" s="29">
        <v>154.19999999999999</v>
      </c>
      <c r="BU52" s="29">
        <v>179.6</v>
      </c>
      <c r="BV52" s="29">
        <f>728.3-BU52-BT52-BS52</f>
        <v>185.19999999999993</v>
      </c>
      <c r="BW52" s="29">
        <v>157.6</v>
      </c>
      <c r="BX52" s="29">
        <v>180.8</v>
      </c>
      <c r="BY52" s="29">
        <v>161.6</v>
      </c>
      <c r="BZ52" s="29">
        <v>176.9</v>
      </c>
      <c r="CA52" s="29">
        <v>173.6</v>
      </c>
      <c r="CB52" s="29">
        <v>145</v>
      </c>
      <c r="CC52" s="29">
        <v>162.19999999999999</v>
      </c>
      <c r="CD52" s="29">
        <v>145</v>
      </c>
      <c r="CE52" s="29">
        <v>206</v>
      </c>
    </row>
    <row r="53" spans="1:108" x14ac:dyDescent="0.25">
      <c r="A53">
        <f>+A16+1</f>
        <v>40</v>
      </c>
      <c r="B53" t="s">
        <v>1309</v>
      </c>
      <c r="C53" t="s">
        <v>28</v>
      </c>
      <c r="D53" t="s">
        <v>1376</v>
      </c>
      <c r="H53" s="30">
        <f t="shared" si="51"/>
        <v>7070</v>
      </c>
      <c r="I53" s="30"/>
      <c r="J53" s="29">
        <f t="shared" si="52"/>
        <v>76</v>
      </c>
      <c r="K53" s="29">
        <f t="shared" si="53"/>
        <v>235</v>
      </c>
      <c r="L53" s="29">
        <f t="shared" si="54"/>
        <v>480</v>
      </c>
      <c r="M53" s="29">
        <f t="shared" si="55"/>
        <v>687</v>
      </c>
      <c r="N53" s="29">
        <f t="shared" si="56"/>
        <v>937</v>
      </c>
      <c r="O53" s="29">
        <f t="shared" si="57"/>
        <v>1231</v>
      </c>
      <c r="P53" s="29">
        <f t="shared" si="58"/>
        <v>2080</v>
      </c>
      <c r="Q53" s="29">
        <f t="shared" si="59"/>
        <v>1344</v>
      </c>
      <c r="R53" s="29">
        <f t="shared" si="60"/>
        <v>0</v>
      </c>
      <c r="S53" s="29">
        <f t="shared" si="61"/>
        <v>0</v>
      </c>
      <c r="T53" s="29">
        <f t="shared" si="62"/>
        <v>0</v>
      </c>
      <c r="U53" s="29">
        <f t="shared" si="63"/>
        <v>0</v>
      </c>
      <c r="V53" s="29">
        <f t="shared" si="124"/>
        <v>0</v>
      </c>
      <c r="W53" s="29">
        <f t="shared" si="125"/>
        <v>0</v>
      </c>
      <c r="X53" s="29">
        <f t="shared" si="64"/>
        <v>0</v>
      </c>
      <c r="Y53" s="29">
        <f t="shared" si="65"/>
        <v>0</v>
      </c>
      <c r="Z53" s="29">
        <f t="shared" si="66"/>
        <v>0</v>
      </c>
      <c r="AA53" s="29">
        <f t="shared" si="67"/>
        <v>0</v>
      </c>
      <c r="AB53" s="29">
        <f t="shared" si="68"/>
        <v>0</v>
      </c>
      <c r="AC53" s="29">
        <f t="shared" si="69"/>
        <v>0</v>
      </c>
      <c r="AD53" s="29">
        <f t="shared" si="70"/>
        <v>0</v>
      </c>
      <c r="AE53" s="29">
        <f t="shared" si="71"/>
        <v>0</v>
      </c>
      <c r="AF53" s="29">
        <f t="shared" si="72"/>
        <v>0</v>
      </c>
      <c r="AG53" s="29">
        <f t="shared" si="73"/>
        <v>0</v>
      </c>
      <c r="AH53" s="29">
        <f t="shared" si="74"/>
        <v>0</v>
      </c>
      <c r="AO53" s="29">
        <v>7</v>
      </c>
      <c r="AP53" s="29">
        <v>8</v>
      </c>
      <c r="AQ53" s="29">
        <v>26</v>
      </c>
      <c r="AR53" s="29">
        <v>35</v>
      </c>
      <c r="AS53" s="29">
        <v>44</v>
      </c>
      <c r="AT53" s="29">
        <v>59</v>
      </c>
      <c r="AU53" s="29">
        <v>72</v>
      </c>
      <c r="AV53" s="29">
        <v>60</v>
      </c>
      <c r="AW53" s="29">
        <v>91</v>
      </c>
      <c r="AX53" s="29">
        <v>111</v>
      </c>
      <c r="AY53" s="29">
        <v>123</v>
      </c>
      <c r="AZ53" s="29">
        <v>155</v>
      </c>
      <c r="BA53" s="29">
        <v>161</v>
      </c>
      <c r="BB53" s="29">
        <v>159</v>
      </c>
      <c r="BC53">
        <v>183</v>
      </c>
      <c r="BD53">
        <v>184</v>
      </c>
      <c r="BE53">
        <v>195</v>
      </c>
      <c r="BF53">
        <v>225</v>
      </c>
      <c r="BG53">
        <v>232</v>
      </c>
      <c r="BH53">
        <v>285</v>
      </c>
      <c r="BI53">
        <v>239</v>
      </c>
      <c r="BJ53">
        <v>308</v>
      </c>
      <c r="BK53">
        <v>327</v>
      </c>
      <c r="BL53">
        <v>357</v>
      </c>
      <c r="BM53">
        <v>415</v>
      </c>
      <c r="BN53">
        <v>493</v>
      </c>
      <c r="BO53">
        <v>562</v>
      </c>
      <c r="BP53">
        <v>610</v>
      </c>
      <c r="BQ53">
        <v>627</v>
      </c>
      <c r="BR53">
        <v>717</v>
      </c>
    </row>
    <row r="54" spans="1:108" x14ac:dyDescent="0.25">
      <c r="A54">
        <f>+A56+1</f>
        <v>46</v>
      </c>
      <c r="B54" t="s">
        <v>633</v>
      </c>
      <c r="C54" t="s">
        <v>19</v>
      </c>
      <c r="D54" t="s">
        <v>1378</v>
      </c>
      <c r="H54" s="30">
        <f>SUM(AO54:GL54)</f>
        <v>6397.0999999999995</v>
      </c>
      <c r="I54" s="30"/>
      <c r="J54" s="29">
        <f>SUM(AO54:AR54)</f>
        <v>45.9</v>
      </c>
      <c r="K54" s="29">
        <f>SUM(AS54:AV54)</f>
        <v>202.6</v>
      </c>
      <c r="L54" s="29">
        <f>SUM(AW54:AZ54)</f>
        <v>426.90000000000003</v>
      </c>
      <c r="M54" s="29">
        <f>SUM(BA54:BD54)</f>
        <v>638.9</v>
      </c>
      <c r="N54" s="29">
        <f>SUM(BE54:BH54)</f>
        <v>1115.0999999999999</v>
      </c>
      <c r="O54" s="29">
        <f>SUM(BI54:BL54)</f>
        <v>830.5</v>
      </c>
      <c r="P54" s="29">
        <f>SUM(BM54:BP54)</f>
        <v>922.7</v>
      </c>
      <c r="Q54" s="29">
        <f>SUM(BQ54:BT54)</f>
        <v>957.50000000000011</v>
      </c>
      <c r="R54" s="29">
        <f>SUM(BU54:BX54)</f>
        <v>1011</v>
      </c>
      <c r="S54" s="29">
        <f>SUM(BY54:CB54)</f>
        <v>246</v>
      </c>
      <c r="T54" s="29">
        <f>SUM(CC54:CF54)</f>
        <v>0</v>
      </c>
      <c r="U54" s="29">
        <f>SUM(CG54:CJ54)</f>
        <v>0</v>
      </c>
      <c r="V54" s="29">
        <f>SUM(CK54:CN54)</f>
        <v>0</v>
      </c>
      <c r="W54" s="29">
        <f>SUM(CO54:CR54)</f>
        <v>0</v>
      </c>
      <c r="X54" s="29">
        <f>SUM(CS54:CV54)</f>
        <v>0</v>
      </c>
      <c r="Y54" s="29">
        <f>SUM(CW54:CZ54)</f>
        <v>0</v>
      </c>
      <c r="Z54" s="29">
        <f>SUM(DA54:DD54)</f>
        <v>0</v>
      </c>
      <c r="AA54" s="29">
        <f>SUM(DE54:DH54)</f>
        <v>0</v>
      </c>
      <c r="AB54" s="29">
        <f>SUM(DI54:DL54)</f>
        <v>0</v>
      </c>
      <c r="AC54" s="29">
        <f>SUM(DM54:DP54)</f>
        <v>0</v>
      </c>
      <c r="AD54" s="29">
        <f>SUM(DQ54:DT54)</f>
        <v>0</v>
      </c>
      <c r="AE54" s="29">
        <f>SUM(DU54:DX54)</f>
        <v>0</v>
      </c>
      <c r="AF54" s="29">
        <f>SUM(DY54:EB54)</f>
        <v>0</v>
      </c>
      <c r="AG54" s="29">
        <f>SUM(EC54:EF54)</f>
        <v>0</v>
      </c>
      <c r="AH54" s="29">
        <f>SUM(EG54:EJ54)</f>
        <v>0</v>
      </c>
      <c r="AO54" s="28">
        <v>1.9</v>
      </c>
      <c r="AP54" s="28">
        <v>4.8</v>
      </c>
      <c r="AQ54" s="28">
        <v>16.2</v>
      </c>
      <c r="AR54" s="28">
        <v>23</v>
      </c>
      <c r="AS54" s="28">
        <v>32.200000000000003</v>
      </c>
      <c r="AT54" s="28">
        <v>44.7</v>
      </c>
      <c r="AU54" s="28">
        <v>55.6</v>
      </c>
      <c r="AV54" s="28">
        <v>70.099999999999994</v>
      </c>
      <c r="AW54" s="28">
        <v>82.1</v>
      </c>
      <c r="AX54" s="28">
        <v>102.4</v>
      </c>
      <c r="AY54" s="28">
        <v>114.6</v>
      </c>
      <c r="AZ54" s="28">
        <v>127.8</v>
      </c>
      <c r="BA54" s="28">
        <v>139.69999999999999</v>
      </c>
      <c r="BB54" s="28">
        <v>145</v>
      </c>
      <c r="BC54" s="28">
        <v>162</v>
      </c>
      <c r="BD54" s="28">
        <v>192.2</v>
      </c>
      <c r="BE54" s="28">
        <v>193.8</v>
      </c>
      <c r="BF54" s="28">
        <v>208.4</v>
      </c>
      <c r="BG54" s="28">
        <v>406.9</v>
      </c>
      <c r="BH54" s="28">
        <v>306</v>
      </c>
      <c r="BI54" s="28">
        <v>255.6</v>
      </c>
      <c r="BJ54" s="28">
        <v>186.2</v>
      </c>
      <c r="BK54" s="28">
        <v>182.9</v>
      </c>
      <c r="BL54" s="28">
        <v>205.8</v>
      </c>
      <c r="BM54" s="28">
        <v>228.9</v>
      </c>
      <c r="BN54" s="28">
        <v>218.9</v>
      </c>
      <c r="BO54" s="28">
        <v>231.4</v>
      </c>
      <c r="BP54" s="28">
        <v>243.5</v>
      </c>
      <c r="BQ54" s="28">
        <v>217.4</v>
      </c>
      <c r="BR54" s="28">
        <v>227.7</v>
      </c>
      <c r="BS54" s="29">
        <v>250.8</v>
      </c>
      <c r="BT54" s="29">
        <v>261.60000000000002</v>
      </c>
      <c r="BU54" s="29">
        <v>228.7</v>
      </c>
      <c r="BV54" s="29">
        <v>246.4</v>
      </c>
      <c r="BW54" s="29">
        <v>268.89999999999998</v>
      </c>
      <c r="BX54" s="29">
        <v>267</v>
      </c>
      <c r="BY54" s="29">
        <v>246</v>
      </c>
    </row>
    <row r="55" spans="1:108" x14ac:dyDescent="0.25">
      <c r="A55">
        <f>+A40+1</f>
        <v>43</v>
      </c>
      <c r="B55" t="s">
        <v>1096</v>
      </c>
      <c r="C55" t="s">
        <v>28</v>
      </c>
      <c r="D55" t="s">
        <v>1392</v>
      </c>
      <c r="G55" t="s">
        <v>2019</v>
      </c>
      <c r="H55" s="30">
        <f t="shared" si="51"/>
        <v>5845</v>
      </c>
      <c r="I55" s="30"/>
      <c r="J55" s="29">
        <f t="shared" si="52"/>
        <v>721</v>
      </c>
      <c r="K55" s="29">
        <f t="shared" si="53"/>
        <v>1179</v>
      </c>
      <c r="L55" s="29">
        <f t="shared" si="54"/>
        <v>1459</v>
      </c>
      <c r="M55" s="29">
        <f t="shared" si="55"/>
        <v>1248</v>
      </c>
      <c r="N55" s="29">
        <f t="shared" si="56"/>
        <v>1238</v>
      </c>
      <c r="O55" s="29">
        <f t="shared" si="57"/>
        <v>0</v>
      </c>
      <c r="P55" s="29">
        <f t="shared" si="58"/>
        <v>0</v>
      </c>
      <c r="Q55" s="29">
        <f t="shared" si="59"/>
        <v>0</v>
      </c>
      <c r="R55" s="29">
        <f t="shared" ref="R55:R75" si="151">SUM(BU55:BX55)</f>
        <v>0</v>
      </c>
      <c r="S55" s="29">
        <f t="shared" ref="S55:S75" si="152">SUM(BY55:CB55)</f>
        <v>0</v>
      </c>
      <c r="T55" s="29">
        <f t="shared" ref="T55:T75" si="153">SUM(CC55:CF55)</f>
        <v>0</v>
      </c>
      <c r="U55" s="29">
        <f t="shared" ref="U55:U75" si="154">SUM(CG55:CJ55)</f>
        <v>0</v>
      </c>
      <c r="V55" s="29">
        <f t="shared" si="124"/>
        <v>0</v>
      </c>
      <c r="W55" s="29">
        <f t="shared" si="125"/>
        <v>0</v>
      </c>
      <c r="X55" s="29">
        <f t="shared" si="64"/>
        <v>0</v>
      </c>
      <c r="Y55" s="29">
        <f t="shared" si="65"/>
        <v>0</v>
      </c>
      <c r="Z55" s="29">
        <f t="shared" si="66"/>
        <v>0</v>
      </c>
      <c r="AA55" s="29">
        <f t="shared" si="67"/>
        <v>0</v>
      </c>
      <c r="AB55" s="29">
        <f t="shared" si="68"/>
        <v>0</v>
      </c>
      <c r="AC55" s="29">
        <f t="shared" si="69"/>
        <v>0</v>
      </c>
      <c r="AD55" s="29">
        <f t="shared" si="70"/>
        <v>0</v>
      </c>
      <c r="AE55" s="29">
        <f t="shared" si="71"/>
        <v>0</v>
      </c>
      <c r="AF55" s="29">
        <f t="shared" si="72"/>
        <v>0</v>
      </c>
      <c r="AG55" s="29">
        <f t="shared" si="73"/>
        <v>0</v>
      </c>
      <c r="AH55" s="29">
        <f t="shared" si="74"/>
        <v>0</v>
      </c>
      <c r="AO55" s="28">
        <v>160</v>
      </c>
      <c r="AP55" s="28">
        <v>186</v>
      </c>
      <c r="AQ55" s="28">
        <v>170</v>
      </c>
      <c r="AR55" s="28">
        <v>205</v>
      </c>
      <c r="AS55" s="28">
        <v>291</v>
      </c>
      <c r="AT55" s="28">
        <v>254</v>
      </c>
      <c r="AU55" s="28">
        <v>319</v>
      </c>
      <c r="AV55" s="28">
        <v>315</v>
      </c>
      <c r="AW55" s="28">
        <v>375</v>
      </c>
      <c r="AX55" s="28">
        <v>342</v>
      </c>
      <c r="AY55" s="28">
        <v>363</v>
      </c>
      <c r="AZ55" s="28">
        <v>379</v>
      </c>
      <c r="BA55" s="28">
        <v>319</v>
      </c>
      <c r="BB55" s="28">
        <v>309</v>
      </c>
      <c r="BC55" s="28">
        <v>309</v>
      </c>
      <c r="BD55" s="28">
        <v>311</v>
      </c>
      <c r="BE55" s="28">
        <v>308</v>
      </c>
      <c r="BF55" s="28">
        <v>286</v>
      </c>
      <c r="BG55" s="28">
        <v>295</v>
      </c>
      <c r="BH55" s="28">
        <v>349</v>
      </c>
    </row>
    <row r="56" spans="1:108" x14ac:dyDescent="0.25">
      <c r="A56">
        <f>+A52+1</f>
        <v>45</v>
      </c>
      <c r="B56" t="s">
        <v>1094</v>
      </c>
      <c r="C56" t="s">
        <v>28</v>
      </c>
      <c r="H56" s="30">
        <f t="shared" si="51"/>
        <v>5086</v>
      </c>
      <c r="I56" s="30"/>
      <c r="J56" s="29">
        <f t="shared" si="52"/>
        <v>131</v>
      </c>
      <c r="K56" s="29">
        <f t="shared" si="53"/>
        <v>690</v>
      </c>
      <c r="L56" s="29">
        <f t="shared" si="54"/>
        <v>1531</v>
      </c>
      <c r="M56" s="29">
        <f t="shared" si="55"/>
        <v>2734</v>
      </c>
      <c r="N56" s="29">
        <f t="shared" si="56"/>
        <v>0</v>
      </c>
      <c r="O56" s="29">
        <f t="shared" si="57"/>
        <v>0</v>
      </c>
      <c r="P56" s="29">
        <f t="shared" si="58"/>
        <v>0</v>
      </c>
      <c r="Q56" s="29">
        <f t="shared" si="59"/>
        <v>0</v>
      </c>
      <c r="R56" s="29">
        <f t="shared" si="151"/>
        <v>0</v>
      </c>
      <c r="S56" s="29">
        <f t="shared" si="152"/>
        <v>0</v>
      </c>
      <c r="T56" s="29">
        <f t="shared" si="153"/>
        <v>0</v>
      </c>
      <c r="U56" s="29">
        <f t="shared" si="154"/>
        <v>0</v>
      </c>
      <c r="V56" s="29">
        <f t="shared" si="124"/>
        <v>0</v>
      </c>
      <c r="W56" s="29">
        <f t="shared" si="125"/>
        <v>0</v>
      </c>
      <c r="X56" s="29">
        <f t="shared" si="64"/>
        <v>0</v>
      </c>
      <c r="Y56" s="29">
        <f t="shared" si="65"/>
        <v>0</v>
      </c>
      <c r="Z56" s="29">
        <f t="shared" si="66"/>
        <v>0</v>
      </c>
      <c r="AA56" s="29">
        <f t="shared" si="67"/>
        <v>0</v>
      </c>
      <c r="AB56" s="29">
        <f t="shared" si="68"/>
        <v>0</v>
      </c>
      <c r="AC56" s="29">
        <f t="shared" si="69"/>
        <v>0</v>
      </c>
      <c r="AD56" s="29">
        <f t="shared" si="70"/>
        <v>0</v>
      </c>
      <c r="AE56" s="29">
        <f t="shared" si="71"/>
        <v>0</v>
      </c>
      <c r="AF56" s="29">
        <f t="shared" si="72"/>
        <v>0</v>
      </c>
      <c r="AG56" s="29">
        <f t="shared" si="73"/>
        <v>0</v>
      </c>
      <c r="AH56" s="29">
        <f t="shared" si="74"/>
        <v>0</v>
      </c>
      <c r="AO56" s="28">
        <v>1</v>
      </c>
      <c r="AP56" s="28">
        <v>14</v>
      </c>
      <c r="AQ56" s="28">
        <v>50</v>
      </c>
      <c r="AR56" s="28">
        <v>66</v>
      </c>
      <c r="AS56" s="28">
        <v>109</v>
      </c>
      <c r="AT56" s="28">
        <v>147</v>
      </c>
      <c r="AU56" s="28">
        <v>195</v>
      </c>
      <c r="AV56" s="28">
        <v>239</v>
      </c>
      <c r="AW56" s="28">
        <v>289</v>
      </c>
      <c r="AX56" s="28">
        <v>369</v>
      </c>
      <c r="AY56" s="28">
        <v>384</v>
      </c>
      <c r="AZ56" s="28">
        <v>489</v>
      </c>
      <c r="BA56" s="28">
        <v>657</v>
      </c>
      <c r="BB56" s="28">
        <v>641</v>
      </c>
      <c r="BC56" s="28">
        <v>637</v>
      </c>
      <c r="BD56" s="28">
        <v>799</v>
      </c>
    </row>
    <row r="57" spans="1:108" x14ac:dyDescent="0.25">
      <c r="A57">
        <f>+A38+1</f>
        <v>50</v>
      </c>
      <c r="B57" t="s">
        <v>630</v>
      </c>
      <c r="C57" t="s">
        <v>19</v>
      </c>
      <c r="D57" t="s">
        <v>2026</v>
      </c>
      <c r="G57" t="s">
        <v>2030</v>
      </c>
      <c r="H57" s="30">
        <f>SUM(AO57:GL57)</f>
        <v>4228.3999999999996</v>
      </c>
      <c r="I57" s="30"/>
      <c r="J57" s="29">
        <f>SUM(AO57:AR57)</f>
        <v>101.1</v>
      </c>
      <c r="K57" s="29">
        <f>SUM(AS57:AV57)</f>
        <v>319.20000000000005</v>
      </c>
      <c r="L57" s="29">
        <f>SUM(AW57:AZ57)</f>
        <v>525.70000000000005</v>
      </c>
      <c r="M57" s="29">
        <f>SUM(BA57:BD57)</f>
        <v>636.79999999999995</v>
      </c>
      <c r="N57" s="29">
        <f>SUM(BE57:BH57)</f>
        <v>667.7</v>
      </c>
      <c r="O57" s="29">
        <f>SUM(BI57:BL57)</f>
        <v>806.69999999999993</v>
      </c>
      <c r="P57" s="29">
        <f>SUM(BM57:BP57)</f>
        <v>751.2</v>
      </c>
      <c r="Q57" s="29">
        <f>SUM(BQ57:BT57)</f>
        <v>420</v>
      </c>
      <c r="R57" s="29">
        <f>SUM(BU57:BX57)</f>
        <v>0</v>
      </c>
      <c r="S57" s="29">
        <f>SUM(BY57:CB57)</f>
        <v>0</v>
      </c>
      <c r="T57" s="29">
        <f>SUM(CC57:CF57)</f>
        <v>0</v>
      </c>
      <c r="U57" s="29">
        <f>SUM(CG57:CJ57)</f>
        <v>0</v>
      </c>
      <c r="V57" s="29">
        <f>SUM(CK57:CN57)</f>
        <v>0</v>
      </c>
      <c r="W57" s="29">
        <f>SUM(CO57:CR57)</f>
        <v>0</v>
      </c>
      <c r="X57" s="29">
        <f>SUM(CS57:CV57)</f>
        <v>0</v>
      </c>
      <c r="Y57" s="29">
        <f>SUM(CW57:CZ57)</f>
        <v>0</v>
      </c>
      <c r="Z57" s="29">
        <f>SUM(DA57:DD57)</f>
        <v>0</v>
      </c>
      <c r="AA57" s="29">
        <f>SUM(DE57:DH57)</f>
        <v>0</v>
      </c>
      <c r="AB57" s="29">
        <f>SUM(DI57:DL57)</f>
        <v>0</v>
      </c>
      <c r="AC57" s="29">
        <f>SUM(DM57:DP57)</f>
        <v>0</v>
      </c>
      <c r="AD57" s="29">
        <f>SUM(DQ57:DT57)</f>
        <v>0</v>
      </c>
      <c r="AE57" s="29">
        <f>SUM(DU57:DX57)</f>
        <v>0</v>
      </c>
      <c r="AF57" s="29">
        <f>SUM(DY57:EB57)</f>
        <v>0</v>
      </c>
      <c r="AG57" s="29">
        <f>SUM(EC57:EF57)</f>
        <v>0</v>
      </c>
      <c r="AH57" s="29">
        <f>SUM(EG57:EJ57)</f>
        <v>0</v>
      </c>
      <c r="AO57" s="28">
        <v>4.9000000000000004</v>
      </c>
      <c r="AP57" s="28">
        <v>14.2</v>
      </c>
      <c r="AQ57" s="28">
        <v>34.299999999999997</v>
      </c>
      <c r="AR57" s="28">
        <v>47.7</v>
      </c>
      <c r="AS57" s="28">
        <v>66.3</v>
      </c>
      <c r="AT57" s="28">
        <v>74</v>
      </c>
      <c r="AU57" s="28">
        <v>87.4</v>
      </c>
      <c r="AV57" s="28">
        <v>91.5</v>
      </c>
      <c r="AW57" s="28">
        <v>109.9</v>
      </c>
      <c r="AX57" s="28">
        <v>119.5</v>
      </c>
      <c r="AY57" s="28">
        <v>156.30000000000001</v>
      </c>
      <c r="AZ57" s="28">
        <v>140</v>
      </c>
      <c r="BA57" s="28">
        <v>161.5</v>
      </c>
      <c r="BB57" s="28">
        <v>149.30000000000001</v>
      </c>
      <c r="BC57" s="28">
        <v>157.5</v>
      </c>
      <c r="BD57" s="28">
        <v>168.5</v>
      </c>
      <c r="BE57" s="28">
        <v>175.6</v>
      </c>
      <c r="BF57" s="28">
        <v>154.30000000000001</v>
      </c>
      <c r="BG57" s="28">
        <v>169.3</v>
      </c>
      <c r="BH57" s="28">
        <v>168.5</v>
      </c>
      <c r="BI57" s="28">
        <v>186.1</v>
      </c>
      <c r="BJ57" s="28">
        <v>225.7</v>
      </c>
      <c r="BK57" s="28">
        <v>192</v>
      </c>
      <c r="BL57" s="29">
        <v>202.9</v>
      </c>
      <c r="BM57" s="29">
        <v>249.8</v>
      </c>
      <c r="BN57" s="29">
        <v>124.6</v>
      </c>
      <c r="BO57" s="29">
        <v>201.1</v>
      </c>
      <c r="BP57" s="29">
        <v>175.7</v>
      </c>
      <c r="BQ57" s="29">
        <v>246</v>
      </c>
      <c r="BR57" s="29">
        <v>174</v>
      </c>
    </row>
    <row r="58" spans="1:108" x14ac:dyDescent="0.25">
      <c r="A58">
        <f>+A54+1</f>
        <v>47</v>
      </c>
      <c r="B58" t="s">
        <v>641</v>
      </c>
      <c r="C58" t="s">
        <v>19</v>
      </c>
      <c r="D58" t="s">
        <v>1377</v>
      </c>
      <c r="H58" s="30">
        <f t="shared" si="51"/>
        <v>2990.3</v>
      </c>
      <c r="I58" s="30"/>
      <c r="J58" s="29">
        <f t="shared" si="52"/>
        <v>58.300000000000004</v>
      </c>
      <c r="K58" s="29">
        <f t="shared" si="53"/>
        <v>211.3</v>
      </c>
      <c r="L58" s="29">
        <f t="shared" si="54"/>
        <v>401.2</v>
      </c>
      <c r="M58" s="29">
        <f t="shared" si="55"/>
        <v>483.6</v>
      </c>
      <c r="N58" s="29">
        <f t="shared" si="56"/>
        <v>508.4</v>
      </c>
      <c r="O58" s="29">
        <f t="shared" si="57"/>
        <v>519.90000000000009</v>
      </c>
      <c r="P58" s="29">
        <f t="shared" si="58"/>
        <v>539</v>
      </c>
      <c r="Q58" s="29">
        <f t="shared" si="59"/>
        <v>268.60000000000002</v>
      </c>
      <c r="R58" s="29">
        <f t="shared" si="151"/>
        <v>0</v>
      </c>
      <c r="S58" s="29">
        <f t="shared" si="152"/>
        <v>0</v>
      </c>
      <c r="T58" s="29">
        <f t="shared" si="153"/>
        <v>0</v>
      </c>
      <c r="U58" s="29">
        <f t="shared" si="154"/>
        <v>0</v>
      </c>
      <c r="V58" s="29">
        <f t="shared" si="124"/>
        <v>0</v>
      </c>
      <c r="W58" s="29">
        <f t="shared" si="125"/>
        <v>0</v>
      </c>
      <c r="X58" s="29">
        <f t="shared" si="64"/>
        <v>0</v>
      </c>
      <c r="Y58" s="29">
        <f t="shared" si="65"/>
        <v>0</v>
      </c>
      <c r="Z58" s="29">
        <f t="shared" si="66"/>
        <v>0</v>
      </c>
      <c r="AA58" s="29">
        <f t="shared" si="67"/>
        <v>0</v>
      </c>
      <c r="AB58" s="29">
        <f t="shared" si="68"/>
        <v>0</v>
      </c>
      <c r="AC58" s="29">
        <f t="shared" si="69"/>
        <v>0</v>
      </c>
      <c r="AD58" s="29">
        <f t="shared" si="70"/>
        <v>0</v>
      </c>
      <c r="AE58" s="29">
        <f t="shared" si="71"/>
        <v>0</v>
      </c>
      <c r="AF58" s="29">
        <f t="shared" si="72"/>
        <v>0</v>
      </c>
      <c r="AG58" s="29">
        <f t="shared" si="73"/>
        <v>0</v>
      </c>
      <c r="AH58" s="29">
        <f t="shared" si="74"/>
        <v>0</v>
      </c>
      <c r="AO58" s="28">
        <v>22.6</v>
      </c>
      <c r="AP58" s="28">
        <v>4</v>
      </c>
      <c r="AQ58" s="28">
        <v>8.8000000000000007</v>
      </c>
      <c r="AR58" s="28">
        <v>22.9</v>
      </c>
      <c r="AS58" s="28">
        <v>36.299999999999997</v>
      </c>
      <c r="AT58" s="28">
        <v>47</v>
      </c>
      <c r="AU58" s="28">
        <v>56.3</v>
      </c>
      <c r="AV58" s="28">
        <v>71.7</v>
      </c>
      <c r="AW58" s="28">
        <v>83.5</v>
      </c>
      <c r="AX58" s="28">
        <v>90.9</v>
      </c>
      <c r="AY58" s="28">
        <v>115.8</v>
      </c>
      <c r="AZ58" s="28">
        <v>111</v>
      </c>
      <c r="BA58" s="28">
        <v>109.7</v>
      </c>
      <c r="BB58" s="28">
        <v>120.6</v>
      </c>
      <c r="BC58" s="28">
        <v>115.9</v>
      </c>
      <c r="BD58" s="28">
        <v>137.4</v>
      </c>
      <c r="BE58" s="28">
        <v>124.9</v>
      </c>
      <c r="BF58" s="28">
        <v>130.6</v>
      </c>
      <c r="BG58" s="28">
        <v>119.3</v>
      </c>
      <c r="BH58" s="28">
        <v>133.6</v>
      </c>
      <c r="BI58" s="28">
        <v>131.5</v>
      </c>
      <c r="BJ58" s="28">
        <v>137.80000000000001</v>
      </c>
      <c r="BK58" s="28">
        <v>121.8</v>
      </c>
      <c r="BL58" s="28">
        <v>128.80000000000001</v>
      </c>
      <c r="BM58" s="28">
        <v>132.1</v>
      </c>
      <c r="BN58" s="28">
        <v>140.30000000000001</v>
      </c>
      <c r="BO58" s="28">
        <v>131.5</v>
      </c>
      <c r="BP58" s="28">
        <v>135.1</v>
      </c>
      <c r="BQ58" s="28">
        <v>127.7</v>
      </c>
      <c r="BR58" s="28">
        <v>140.9</v>
      </c>
    </row>
    <row r="59" spans="1:108" x14ac:dyDescent="0.25">
      <c r="A59">
        <f>+A64+1</f>
        <v>54</v>
      </c>
      <c r="B59" t="s">
        <v>634</v>
      </c>
      <c r="C59" t="s">
        <v>19</v>
      </c>
      <c r="D59" t="s">
        <v>1376</v>
      </c>
      <c r="H59" s="30">
        <f>SUM(AO59:GL59)</f>
        <v>2744</v>
      </c>
      <c r="I59" s="30"/>
      <c r="J59" s="29">
        <f>SUM(AO59:AR59)</f>
        <v>134</v>
      </c>
      <c r="K59" s="29">
        <f>SUM(AS59:AV59)</f>
        <v>308.7</v>
      </c>
      <c r="L59" s="29">
        <f>SUM(AW59:AZ59)</f>
        <v>418.09999999999997</v>
      </c>
      <c r="M59" s="29">
        <f>SUM(BA59:BD59)</f>
        <v>293.39999999999998</v>
      </c>
      <c r="N59" s="29">
        <f>SUM(BE59:BH59)</f>
        <v>393.29999999999995</v>
      </c>
      <c r="O59" s="29">
        <f>SUM(BI59:BL59)</f>
        <v>525.9</v>
      </c>
      <c r="P59" s="29">
        <f>SUM(BM59:BP59)</f>
        <v>550.6</v>
      </c>
      <c r="Q59" s="29">
        <f>SUM(BQ59:BT59)</f>
        <v>120</v>
      </c>
      <c r="R59" s="29">
        <f>SUM(BU59:BX59)</f>
        <v>0</v>
      </c>
      <c r="S59" s="29">
        <f>SUM(BY59:CB59)</f>
        <v>0</v>
      </c>
      <c r="T59" s="29">
        <f>SUM(CC59:CF59)</f>
        <v>0</v>
      </c>
      <c r="U59" s="29">
        <f>SUM(CG59:CJ59)</f>
        <v>0</v>
      </c>
      <c r="V59" s="29">
        <f>SUM(CK59:CN59)</f>
        <v>0</v>
      </c>
      <c r="W59" s="29">
        <f>SUM(CO59:CR59)</f>
        <v>0</v>
      </c>
      <c r="X59" s="29">
        <f>SUM(CS59:CV59)</f>
        <v>0</v>
      </c>
      <c r="Y59" s="29">
        <f>SUM(CW59:CZ59)</f>
        <v>0</v>
      </c>
      <c r="Z59" s="29">
        <f>SUM(DA59:DD59)</f>
        <v>0</v>
      </c>
      <c r="AA59" s="29">
        <f>SUM(DE59:DH59)</f>
        <v>0</v>
      </c>
      <c r="AB59" s="29">
        <f>SUM(DI59:DL59)</f>
        <v>0</v>
      </c>
      <c r="AC59" s="29">
        <f>SUM(DM59:DP59)</f>
        <v>0</v>
      </c>
      <c r="AD59" s="29">
        <f>SUM(DQ59:DT59)</f>
        <v>0</v>
      </c>
      <c r="AE59" s="29">
        <f>SUM(DU59:DX59)</f>
        <v>0</v>
      </c>
      <c r="AF59" s="29">
        <f>SUM(DY59:EB59)</f>
        <v>0</v>
      </c>
      <c r="AG59" s="29">
        <f>SUM(EC59:EF59)</f>
        <v>0</v>
      </c>
      <c r="AH59" s="29">
        <f>SUM(EG59:EJ59)</f>
        <v>0</v>
      </c>
      <c r="AO59" s="28">
        <v>9.9</v>
      </c>
      <c r="AP59" s="28">
        <v>40.1</v>
      </c>
      <c r="AQ59" s="28">
        <v>46.6</v>
      </c>
      <c r="AR59" s="28">
        <v>37.4</v>
      </c>
      <c r="AS59" s="28">
        <v>57.4</v>
      </c>
      <c r="AT59" s="28">
        <v>64.099999999999994</v>
      </c>
      <c r="AU59" s="28">
        <v>84.4</v>
      </c>
      <c r="AV59" s="28">
        <v>102.8</v>
      </c>
      <c r="AW59" s="28">
        <v>109.7</v>
      </c>
      <c r="AX59" s="28">
        <v>105</v>
      </c>
      <c r="AY59" s="28">
        <v>125.6</v>
      </c>
      <c r="AZ59" s="28">
        <v>77.8</v>
      </c>
      <c r="BA59" s="28">
        <v>85.5</v>
      </c>
      <c r="BB59" s="28">
        <v>73.599999999999994</v>
      </c>
      <c r="BC59" s="28">
        <v>76.8</v>
      </c>
      <c r="BD59" s="28">
        <v>57.5</v>
      </c>
      <c r="BE59" s="28">
        <v>61</v>
      </c>
      <c r="BF59" s="28">
        <v>103.6</v>
      </c>
      <c r="BG59" s="28">
        <v>115.1</v>
      </c>
      <c r="BH59" s="28">
        <v>113.6</v>
      </c>
      <c r="BI59" s="28">
        <v>116.7</v>
      </c>
      <c r="BJ59" s="28">
        <v>123</v>
      </c>
      <c r="BK59" s="29">
        <v>150.19999999999999</v>
      </c>
      <c r="BL59" s="29">
        <v>136</v>
      </c>
      <c r="BM59" s="29">
        <v>137.5</v>
      </c>
      <c r="BN59" s="29">
        <v>137.30000000000001</v>
      </c>
      <c r="BO59" s="29">
        <v>141.80000000000001</v>
      </c>
      <c r="BP59" s="29">
        <v>134</v>
      </c>
      <c r="BQ59" s="29">
        <v>120</v>
      </c>
    </row>
    <row r="60" spans="1:108" x14ac:dyDescent="0.25">
      <c r="A60">
        <f>+A58+1</f>
        <v>48</v>
      </c>
      <c r="B60" t="s">
        <v>642</v>
      </c>
      <c r="C60" t="s">
        <v>19</v>
      </c>
      <c r="D60" t="s">
        <v>1380</v>
      </c>
      <c r="G60" t="s">
        <v>2013</v>
      </c>
      <c r="H60" s="30">
        <f t="shared" si="51"/>
        <v>2345.5313432835819</v>
      </c>
      <c r="I60" s="30"/>
      <c r="J60" s="29">
        <f t="shared" si="52"/>
        <v>175.7</v>
      </c>
      <c r="K60" s="29">
        <f t="shared" si="53"/>
        <v>379.93134328358212</v>
      </c>
      <c r="L60" s="29">
        <f t="shared" si="54"/>
        <v>385.2</v>
      </c>
      <c r="M60" s="29">
        <f t="shared" si="55"/>
        <v>430.90000000000003</v>
      </c>
      <c r="N60" s="29">
        <f t="shared" si="56"/>
        <v>445.8</v>
      </c>
      <c r="O60" s="29">
        <f t="shared" si="57"/>
        <v>417.7</v>
      </c>
      <c r="P60" s="29">
        <f t="shared" si="58"/>
        <v>110.3</v>
      </c>
      <c r="Q60" s="29">
        <f t="shared" si="59"/>
        <v>0</v>
      </c>
      <c r="R60" s="29">
        <f t="shared" si="151"/>
        <v>0</v>
      </c>
      <c r="S60" s="29">
        <f t="shared" si="152"/>
        <v>0</v>
      </c>
      <c r="T60" s="29">
        <f t="shared" si="153"/>
        <v>0</v>
      </c>
      <c r="U60" s="29">
        <f t="shared" si="154"/>
        <v>0</v>
      </c>
      <c r="V60" s="29">
        <f t="shared" si="124"/>
        <v>0</v>
      </c>
      <c r="W60" s="29">
        <f t="shared" si="125"/>
        <v>0</v>
      </c>
      <c r="X60" s="29">
        <f t="shared" si="64"/>
        <v>0</v>
      </c>
      <c r="Y60" s="29">
        <f t="shared" si="65"/>
        <v>0</v>
      </c>
      <c r="Z60" s="29">
        <f t="shared" si="66"/>
        <v>0</v>
      </c>
      <c r="AA60" s="29">
        <f t="shared" si="67"/>
        <v>0</v>
      </c>
      <c r="AB60" s="29">
        <f t="shared" si="68"/>
        <v>0</v>
      </c>
      <c r="AC60" s="29">
        <f t="shared" si="69"/>
        <v>0</v>
      </c>
      <c r="AD60" s="29">
        <f t="shared" si="70"/>
        <v>0</v>
      </c>
      <c r="AE60" s="29">
        <f t="shared" si="71"/>
        <v>0</v>
      </c>
      <c r="AF60" s="29">
        <f t="shared" si="72"/>
        <v>0</v>
      </c>
      <c r="AG60" s="29">
        <f t="shared" si="73"/>
        <v>0</v>
      </c>
      <c r="AH60" s="29">
        <f t="shared" si="74"/>
        <v>0</v>
      </c>
      <c r="AO60" s="29">
        <v>25.7</v>
      </c>
      <c r="AP60" s="29">
        <v>36</v>
      </c>
      <c r="AQ60" s="29">
        <v>52</v>
      </c>
      <c r="AR60" s="29">
        <v>62</v>
      </c>
      <c r="AS60" s="29">
        <f>AW60/1.34</f>
        <v>68.731343283582078</v>
      </c>
      <c r="AT60" s="29">
        <v>72</v>
      </c>
      <c r="AU60" s="29">
        <v>152.1</v>
      </c>
      <c r="AV60" s="29">
        <v>87.1</v>
      </c>
      <c r="AW60" s="29">
        <v>92.1</v>
      </c>
      <c r="AX60" s="29">
        <v>82.7</v>
      </c>
      <c r="AY60" s="29">
        <v>101.2</v>
      </c>
      <c r="AZ60" s="29">
        <v>109.2</v>
      </c>
      <c r="BA60" s="29">
        <v>103</v>
      </c>
      <c r="BB60" s="29">
        <v>97.5</v>
      </c>
      <c r="BC60" s="29">
        <v>114.6</v>
      </c>
      <c r="BD60" s="29">
        <v>115.8</v>
      </c>
      <c r="BE60" s="29">
        <v>120.5</v>
      </c>
      <c r="BF60" s="29">
        <v>115.7</v>
      </c>
      <c r="BG60" s="29">
        <v>106.9</v>
      </c>
      <c r="BH60" s="29">
        <v>102.7</v>
      </c>
      <c r="BI60" s="29">
        <v>105.3</v>
      </c>
      <c r="BJ60" s="29">
        <v>101.8</v>
      </c>
      <c r="BK60" s="29">
        <v>103.9</v>
      </c>
      <c r="BL60" s="29">
        <v>106.7</v>
      </c>
      <c r="BM60" s="29">
        <v>110.3</v>
      </c>
    </row>
    <row r="61" spans="1:108" x14ac:dyDescent="0.25">
      <c r="A61">
        <f>+A57+1</f>
        <v>51</v>
      </c>
      <c r="B61" t="s">
        <v>1095</v>
      </c>
      <c r="C61" t="s">
        <v>28</v>
      </c>
      <c r="H61" s="30">
        <f t="shared" si="51"/>
        <v>1906</v>
      </c>
      <c r="I61" s="30"/>
      <c r="J61" s="29">
        <f t="shared" si="52"/>
        <v>271</v>
      </c>
      <c r="K61" s="29">
        <f t="shared" si="53"/>
        <v>980</v>
      </c>
      <c r="L61" s="29">
        <f t="shared" si="54"/>
        <v>655</v>
      </c>
      <c r="M61" s="29">
        <f t="shared" si="55"/>
        <v>0</v>
      </c>
      <c r="N61" s="29">
        <f t="shared" si="56"/>
        <v>0</v>
      </c>
      <c r="O61" s="29">
        <f t="shared" si="57"/>
        <v>0</v>
      </c>
      <c r="P61" s="29">
        <f t="shared" si="58"/>
        <v>0</v>
      </c>
      <c r="Q61" s="29">
        <f t="shared" si="59"/>
        <v>0</v>
      </c>
      <c r="R61" s="29">
        <f t="shared" si="151"/>
        <v>0</v>
      </c>
      <c r="S61" s="29">
        <f t="shared" si="152"/>
        <v>0</v>
      </c>
      <c r="T61" s="29">
        <f t="shared" si="153"/>
        <v>0</v>
      </c>
      <c r="U61" s="29">
        <f t="shared" si="154"/>
        <v>0</v>
      </c>
      <c r="V61" s="29">
        <f t="shared" si="124"/>
        <v>0</v>
      </c>
      <c r="W61" s="29">
        <f t="shared" si="125"/>
        <v>0</v>
      </c>
      <c r="X61" s="29">
        <f t="shared" si="64"/>
        <v>0</v>
      </c>
      <c r="Y61" s="29">
        <f t="shared" si="65"/>
        <v>0</v>
      </c>
      <c r="Z61" s="29">
        <f t="shared" si="66"/>
        <v>0</v>
      </c>
      <c r="AA61" s="29">
        <f t="shared" si="67"/>
        <v>0</v>
      </c>
      <c r="AB61" s="29">
        <f t="shared" si="68"/>
        <v>0</v>
      </c>
      <c r="AC61" s="29">
        <f t="shared" si="69"/>
        <v>0</v>
      </c>
      <c r="AD61" s="29">
        <f t="shared" si="70"/>
        <v>0</v>
      </c>
      <c r="AE61" s="29">
        <f t="shared" si="71"/>
        <v>0</v>
      </c>
      <c r="AF61" s="29">
        <f t="shared" si="72"/>
        <v>0</v>
      </c>
      <c r="AG61" s="29">
        <f t="shared" si="73"/>
        <v>0</v>
      </c>
      <c r="AH61" s="29">
        <f t="shared" si="74"/>
        <v>0</v>
      </c>
      <c r="AO61" s="29">
        <v>2</v>
      </c>
      <c r="AP61" s="29">
        <v>10</v>
      </c>
      <c r="AQ61" s="29">
        <v>80</v>
      </c>
      <c r="AR61" s="29">
        <v>179</v>
      </c>
      <c r="AS61" s="29">
        <v>211</v>
      </c>
      <c r="AT61" s="29">
        <v>240</v>
      </c>
      <c r="AU61" s="29">
        <v>256</v>
      </c>
      <c r="AV61" s="29">
        <v>273</v>
      </c>
      <c r="AW61" s="29">
        <v>310</v>
      </c>
      <c r="AX61" s="29">
        <v>345</v>
      </c>
    </row>
    <row r="62" spans="1:108" x14ac:dyDescent="0.25">
      <c r="A62">
        <f t="shared" ref="A62:A69" si="155">+A61+1</f>
        <v>52</v>
      </c>
      <c r="B62" t="s">
        <v>1100</v>
      </c>
      <c r="C62" t="s">
        <v>28</v>
      </c>
      <c r="H62" s="30">
        <f t="shared" si="51"/>
        <v>1866</v>
      </c>
      <c r="I62" s="30"/>
      <c r="J62" s="29">
        <f t="shared" si="52"/>
        <v>263</v>
      </c>
      <c r="K62" s="29">
        <f t="shared" si="53"/>
        <v>327</v>
      </c>
      <c r="L62" s="29">
        <f t="shared" si="54"/>
        <v>327</v>
      </c>
      <c r="M62" s="29">
        <f t="shared" si="55"/>
        <v>461</v>
      </c>
      <c r="N62" s="29">
        <f t="shared" si="56"/>
        <v>488</v>
      </c>
      <c r="O62" s="29">
        <f t="shared" si="57"/>
        <v>0</v>
      </c>
      <c r="P62" s="29">
        <f t="shared" si="58"/>
        <v>0</v>
      </c>
      <c r="Q62" s="29">
        <f t="shared" si="59"/>
        <v>0</v>
      </c>
      <c r="R62" s="29">
        <f t="shared" si="151"/>
        <v>0</v>
      </c>
      <c r="S62" s="29">
        <f t="shared" si="152"/>
        <v>0</v>
      </c>
      <c r="T62" s="29">
        <f t="shared" si="153"/>
        <v>0</v>
      </c>
      <c r="U62" s="29">
        <f t="shared" si="154"/>
        <v>0</v>
      </c>
      <c r="V62" s="29">
        <f t="shared" si="124"/>
        <v>0</v>
      </c>
      <c r="W62" s="29">
        <f t="shared" si="125"/>
        <v>0</v>
      </c>
      <c r="X62" s="29">
        <f t="shared" si="64"/>
        <v>0</v>
      </c>
      <c r="Y62" s="29">
        <f t="shared" si="65"/>
        <v>0</v>
      </c>
      <c r="Z62" s="29">
        <f t="shared" si="66"/>
        <v>0</v>
      </c>
      <c r="AA62" s="29">
        <f t="shared" si="67"/>
        <v>0</v>
      </c>
      <c r="AB62" s="29">
        <f t="shared" si="68"/>
        <v>0</v>
      </c>
      <c r="AC62" s="29">
        <f t="shared" si="69"/>
        <v>0</v>
      </c>
      <c r="AD62" s="29">
        <f t="shared" si="70"/>
        <v>0</v>
      </c>
      <c r="AE62" s="29">
        <f t="shared" si="71"/>
        <v>0</v>
      </c>
      <c r="AF62" s="29">
        <f t="shared" si="72"/>
        <v>0</v>
      </c>
      <c r="AG62" s="29">
        <f t="shared" si="73"/>
        <v>0</v>
      </c>
      <c r="AH62" s="29">
        <f t="shared" si="74"/>
        <v>0</v>
      </c>
      <c r="AO62" s="28">
        <v>43</v>
      </c>
      <c r="AP62" s="28">
        <v>67</v>
      </c>
      <c r="AQ62" s="28">
        <v>74</v>
      </c>
      <c r="AR62" s="28">
        <v>79</v>
      </c>
      <c r="AS62" s="28">
        <v>83</v>
      </c>
      <c r="AT62" s="28">
        <v>84</v>
      </c>
      <c r="AU62" s="28">
        <v>78</v>
      </c>
      <c r="AV62" s="28">
        <v>82</v>
      </c>
      <c r="AW62" s="28">
        <v>82</v>
      </c>
      <c r="AX62" s="28">
        <v>87</v>
      </c>
      <c r="AY62" s="28">
        <v>73</v>
      </c>
      <c r="AZ62" s="28">
        <v>85</v>
      </c>
      <c r="BA62" s="28">
        <v>103</v>
      </c>
      <c r="BB62" s="28">
        <v>112</v>
      </c>
      <c r="BC62" s="28">
        <v>116</v>
      </c>
      <c r="BD62" s="28">
        <v>130</v>
      </c>
      <c r="BE62" s="28">
        <v>128</v>
      </c>
      <c r="BF62" s="28">
        <v>131</v>
      </c>
      <c r="BG62" s="28">
        <v>109</v>
      </c>
      <c r="BH62" s="28">
        <v>120</v>
      </c>
    </row>
    <row r="63" spans="1:108" x14ac:dyDescent="0.25">
      <c r="A63">
        <f>+A73+1</f>
        <v>61</v>
      </c>
      <c r="B63" t="s">
        <v>635</v>
      </c>
      <c r="C63" t="s">
        <v>19</v>
      </c>
      <c r="H63" s="30">
        <f>SUM(AO63:GL63)</f>
        <v>1547.4999999999998</v>
      </c>
      <c r="I63" s="30"/>
      <c r="J63" s="29">
        <f>SUM(AO63:AR63)</f>
        <v>53.399999999999991</v>
      </c>
      <c r="K63" s="29">
        <f>SUM(AS63:AV63)</f>
        <v>139.69999999999999</v>
      </c>
      <c r="L63" s="29">
        <f>SUM(AW63:AZ63)</f>
        <v>201.5</v>
      </c>
      <c r="M63" s="29">
        <f>SUM(BA63:BD63)</f>
        <v>271.40000000000003</v>
      </c>
      <c r="N63" s="29">
        <f>SUM(BE63:BH63)</f>
        <v>386.2</v>
      </c>
      <c r="O63" s="29">
        <f>SUM(BI63:BL63)</f>
        <v>495.3</v>
      </c>
      <c r="P63" s="29">
        <f>SUM(BM63:BP63)</f>
        <v>0</v>
      </c>
      <c r="Q63" s="29">
        <f>SUM(BQ63:BT63)</f>
        <v>0</v>
      </c>
      <c r="R63" s="29">
        <f>SUM(BU63:BX63)</f>
        <v>0</v>
      </c>
      <c r="S63" s="29">
        <f>SUM(BY63:CB63)</f>
        <v>0</v>
      </c>
      <c r="T63" s="29">
        <f>SUM(CC63:CF63)</f>
        <v>0</v>
      </c>
      <c r="U63" s="29">
        <f>SUM(CG63:CJ63)</f>
        <v>0</v>
      </c>
      <c r="V63" s="29">
        <f>SUM(CK63:CN63)</f>
        <v>0</v>
      </c>
      <c r="W63" s="29">
        <f>SUM(CO63:CR63)</f>
        <v>0</v>
      </c>
      <c r="X63" s="29">
        <f>SUM(CS63:CV63)</f>
        <v>0</v>
      </c>
      <c r="Y63" s="29">
        <f>SUM(CW63:CZ63)</f>
        <v>0</v>
      </c>
      <c r="Z63" s="29">
        <f>SUM(DA63:DD63)</f>
        <v>0</v>
      </c>
      <c r="AA63" s="29">
        <f>SUM(DE63:DH63)</f>
        <v>0</v>
      </c>
      <c r="AB63" s="29">
        <f>SUM(DI63:DL63)</f>
        <v>0</v>
      </c>
      <c r="AC63" s="29">
        <f>SUM(DM63:DP63)</f>
        <v>0</v>
      </c>
      <c r="AD63" s="29">
        <f>SUM(DQ63:DT63)</f>
        <v>0</v>
      </c>
      <c r="AE63" s="29">
        <f>SUM(DU63:DX63)</f>
        <v>0</v>
      </c>
      <c r="AF63" s="29">
        <f>SUM(DY63:EB63)</f>
        <v>0</v>
      </c>
      <c r="AG63" s="29">
        <f>SUM(EC63:EF63)</f>
        <v>0</v>
      </c>
      <c r="AH63" s="29">
        <f>SUM(EG63:EJ63)</f>
        <v>0</v>
      </c>
      <c r="AO63" s="29">
        <v>6.3</v>
      </c>
      <c r="AP63" s="29">
        <v>11.6</v>
      </c>
      <c r="AQ63" s="29">
        <v>18.7</v>
      </c>
      <c r="AR63" s="29">
        <v>16.8</v>
      </c>
      <c r="AS63" s="29">
        <v>25.7</v>
      </c>
      <c r="AT63" s="29">
        <v>33.6</v>
      </c>
      <c r="AU63" s="29">
        <v>38.6</v>
      </c>
      <c r="AV63" s="29">
        <v>41.8</v>
      </c>
      <c r="AW63" s="29">
        <v>45</v>
      </c>
      <c r="AX63" s="29">
        <v>40.5</v>
      </c>
      <c r="AY63" s="29">
        <v>64.599999999999994</v>
      </c>
      <c r="AZ63" s="29">
        <v>51.4</v>
      </c>
      <c r="BA63" s="29">
        <v>65.400000000000006</v>
      </c>
      <c r="BB63" s="29">
        <v>63.4</v>
      </c>
      <c r="BC63" s="29">
        <v>73.400000000000006</v>
      </c>
      <c r="BD63" s="29">
        <v>69.2</v>
      </c>
      <c r="BE63" s="29">
        <v>91.2</v>
      </c>
      <c r="BF63" s="29">
        <v>114</v>
      </c>
      <c r="BG63" s="29">
        <v>90</v>
      </c>
      <c r="BH63" s="29">
        <v>91</v>
      </c>
      <c r="BI63" s="29">
        <v>125.3</v>
      </c>
      <c r="BJ63" s="29">
        <v>112</v>
      </c>
      <c r="BK63" s="29">
        <v>128</v>
      </c>
      <c r="BL63" s="29">
        <v>130</v>
      </c>
    </row>
    <row r="64" spans="1:108" x14ac:dyDescent="0.25">
      <c r="A64">
        <f>+A62+1</f>
        <v>53</v>
      </c>
      <c r="B64" t="s">
        <v>1098</v>
      </c>
      <c r="C64" t="s">
        <v>28</v>
      </c>
      <c r="H64" s="30">
        <f t="shared" si="51"/>
        <v>1221</v>
      </c>
      <c r="I64" s="30"/>
      <c r="J64" s="29">
        <f t="shared" si="52"/>
        <v>85</v>
      </c>
      <c r="K64" s="29">
        <f t="shared" si="53"/>
        <v>230</v>
      </c>
      <c r="L64" s="29">
        <f t="shared" si="54"/>
        <v>321</v>
      </c>
      <c r="M64" s="29">
        <f t="shared" si="55"/>
        <v>376</v>
      </c>
      <c r="N64" s="29">
        <f t="shared" si="56"/>
        <v>209</v>
      </c>
      <c r="O64" s="29">
        <f t="shared" si="57"/>
        <v>0</v>
      </c>
      <c r="P64" s="29">
        <f t="shared" si="58"/>
        <v>0</v>
      </c>
      <c r="Q64" s="29">
        <f t="shared" si="59"/>
        <v>0</v>
      </c>
      <c r="R64" s="29">
        <f t="shared" si="151"/>
        <v>0</v>
      </c>
      <c r="S64" s="29">
        <f t="shared" si="152"/>
        <v>0</v>
      </c>
      <c r="T64" s="29">
        <f t="shared" si="153"/>
        <v>0</v>
      </c>
      <c r="U64" s="29">
        <f t="shared" si="154"/>
        <v>0</v>
      </c>
      <c r="V64" s="29">
        <f t="shared" si="124"/>
        <v>0</v>
      </c>
      <c r="W64" s="29">
        <f t="shared" si="125"/>
        <v>0</v>
      </c>
      <c r="X64" s="29">
        <f t="shared" si="64"/>
        <v>0</v>
      </c>
      <c r="Y64" s="29">
        <f t="shared" si="65"/>
        <v>0</v>
      </c>
      <c r="Z64" s="29">
        <f t="shared" si="66"/>
        <v>0</v>
      </c>
      <c r="AA64" s="29">
        <f t="shared" si="67"/>
        <v>0</v>
      </c>
      <c r="AB64" s="29">
        <f t="shared" si="68"/>
        <v>0</v>
      </c>
      <c r="AC64" s="29">
        <f t="shared" si="69"/>
        <v>0</v>
      </c>
      <c r="AD64" s="29">
        <f t="shared" si="70"/>
        <v>0</v>
      </c>
      <c r="AE64" s="29">
        <f t="shared" si="71"/>
        <v>0</v>
      </c>
      <c r="AF64" s="29">
        <f t="shared" si="72"/>
        <v>0</v>
      </c>
      <c r="AG64" s="29">
        <f t="shared" si="73"/>
        <v>0</v>
      </c>
      <c r="AH64" s="29">
        <f t="shared" si="74"/>
        <v>0</v>
      </c>
      <c r="AO64" s="28">
        <v>4</v>
      </c>
      <c r="AP64" s="28">
        <v>17</v>
      </c>
      <c r="AQ64" s="28">
        <v>30</v>
      </c>
      <c r="AR64" s="28">
        <v>34</v>
      </c>
      <c r="AS64" s="28">
        <v>49</v>
      </c>
      <c r="AT64" s="28">
        <v>57</v>
      </c>
      <c r="AU64" s="28">
        <v>55</v>
      </c>
      <c r="AV64" s="28">
        <v>69</v>
      </c>
      <c r="AW64" s="28">
        <v>76</v>
      </c>
      <c r="AX64" s="28">
        <v>81</v>
      </c>
      <c r="AY64" s="28">
        <v>79</v>
      </c>
      <c r="AZ64" s="28">
        <v>85</v>
      </c>
      <c r="BA64" s="28">
        <v>94</v>
      </c>
      <c r="BB64" s="28">
        <v>99</v>
      </c>
      <c r="BC64" s="28">
        <v>89</v>
      </c>
      <c r="BD64" s="28">
        <v>94</v>
      </c>
      <c r="BE64" s="28">
        <v>103</v>
      </c>
      <c r="BF64" s="28">
        <v>106</v>
      </c>
    </row>
    <row r="65" spans="1:63" x14ac:dyDescent="0.25">
      <c r="A65">
        <f>+A59+1</f>
        <v>55</v>
      </c>
      <c r="B65" t="s">
        <v>1101</v>
      </c>
      <c r="C65" t="s">
        <v>28</v>
      </c>
      <c r="D65" t="s">
        <v>2026</v>
      </c>
      <c r="H65" s="30">
        <f t="shared" si="51"/>
        <v>1127</v>
      </c>
      <c r="I65" s="30"/>
      <c r="J65" s="29">
        <f t="shared" si="52"/>
        <v>83</v>
      </c>
      <c r="K65" s="29">
        <f t="shared" si="53"/>
        <v>136</v>
      </c>
      <c r="L65" s="29">
        <f t="shared" si="54"/>
        <v>212</v>
      </c>
      <c r="M65" s="29">
        <f t="shared" si="55"/>
        <v>218</v>
      </c>
      <c r="N65" s="29">
        <f t="shared" si="56"/>
        <v>256</v>
      </c>
      <c r="O65" s="29">
        <f t="shared" si="57"/>
        <v>222</v>
      </c>
      <c r="P65" s="29">
        <f t="shared" si="58"/>
        <v>0</v>
      </c>
      <c r="Q65" s="29">
        <f t="shared" si="59"/>
        <v>0</v>
      </c>
      <c r="R65" s="29">
        <f t="shared" si="151"/>
        <v>0</v>
      </c>
      <c r="S65" s="29">
        <f t="shared" si="152"/>
        <v>0</v>
      </c>
      <c r="T65" s="29">
        <f t="shared" si="153"/>
        <v>0</v>
      </c>
      <c r="U65" s="29">
        <f t="shared" si="154"/>
        <v>0</v>
      </c>
      <c r="V65" s="29">
        <f t="shared" si="124"/>
        <v>0</v>
      </c>
      <c r="W65" s="29">
        <f t="shared" si="125"/>
        <v>0</v>
      </c>
      <c r="X65" s="29">
        <f t="shared" si="64"/>
        <v>0</v>
      </c>
      <c r="Y65" s="29">
        <f t="shared" si="65"/>
        <v>0</v>
      </c>
      <c r="Z65" s="29">
        <f t="shared" si="66"/>
        <v>0</v>
      </c>
      <c r="AA65" s="29">
        <f t="shared" si="67"/>
        <v>0</v>
      </c>
      <c r="AB65" s="29">
        <f t="shared" si="68"/>
        <v>0</v>
      </c>
      <c r="AC65" s="29">
        <f t="shared" si="69"/>
        <v>0</v>
      </c>
      <c r="AD65" s="29">
        <f t="shared" si="70"/>
        <v>0</v>
      </c>
      <c r="AE65" s="29">
        <f t="shared" si="71"/>
        <v>0</v>
      </c>
      <c r="AF65" s="29">
        <f t="shared" si="72"/>
        <v>0</v>
      </c>
      <c r="AG65" s="29">
        <f t="shared" si="73"/>
        <v>0</v>
      </c>
      <c r="AH65" s="29">
        <f t="shared" si="74"/>
        <v>0</v>
      </c>
      <c r="AO65" s="28">
        <v>8</v>
      </c>
      <c r="AP65" s="28">
        <v>18</v>
      </c>
      <c r="AQ65" s="28">
        <v>24</v>
      </c>
      <c r="AR65" s="28">
        <v>33</v>
      </c>
      <c r="AS65" s="28">
        <v>28</v>
      </c>
      <c r="AT65" s="28">
        <v>36</v>
      </c>
      <c r="AU65" s="28">
        <v>33</v>
      </c>
      <c r="AV65" s="28">
        <v>39</v>
      </c>
      <c r="AW65" s="28">
        <v>56</v>
      </c>
      <c r="AX65" s="28">
        <v>47</v>
      </c>
      <c r="AY65" s="28">
        <v>53</v>
      </c>
      <c r="AZ65" s="28">
        <v>56</v>
      </c>
      <c r="BA65" s="28">
        <v>59</v>
      </c>
      <c r="BB65" s="28">
        <v>54</v>
      </c>
      <c r="BC65" s="28">
        <v>55</v>
      </c>
      <c r="BD65" s="28">
        <v>50</v>
      </c>
      <c r="BE65" s="28">
        <v>59</v>
      </c>
      <c r="BF65" s="28">
        <v>61</v>
      </c>
      <c r="BG65" s="28">
        <v>67</v>
      </c>
      <c r="BH65" s="28">
        <v>69</v>
      </c>
      <c r="BI65" s="28">
        <v>69</v>
      </c>
      <c r="BJ65" s="28">
        <v>76</v>
      </c>
      <c r="BK65" s="28">
        <v>77</v>
      </c>
    </row>
    <row r="66" spans="1:63" x14ac:dyDescent="0.25">
      <c r="A66">
        <f>+A67+1</f>
        <v>57</v>
      </c>
      <c r="B66" t="s">
        <v>2036</v>
      </c>
      <c r="C66" t="s">
        <v>19</v>
      </c>
      <c r="H66" s="30">
        <f>SUM(AO66:GL66)</f>
        <v>1013.4</v>
      </c>
      <c r="I66" s="30"/>
      <c r="J66" s="29">
        <f t="shared" ref="J66" si="156">SUM(AO66:AR66)</f>
        <v>5.0999999999999996</v>
      </c>
      <c r="K66" s="29">
        <f t="shared" ref="K66" si="157">SUM(AS66:AV66)</f>
        <v>337.1</v>
      </c>
      <c r="L66" s="29">
        <f t="shared" ref="L66" si="158">SUM(AW66:AZ66)</f>
        <v>506.20000000000005</v>
      </c>
      <c r="M66" s="29">
        <f t="shared" ref="M66" si="159">SUM(BA66:BD66)</f>
        <v>165</v>
      </c>
      <c r="N66" s="29">
        <f t="shared" ref="N66" si="160">SUM(BE66:BH66)</f>
        <v>0</v>
      </c>
      <c r="O66" s="29">
        <f t="shared" ref="O66" si="161">SUM(BI66:BL66)</f>
        <v>0</v>
      </c>
      <c r="P66" s="29">
        <f t="shared" ref="P66" si="162">SUM(BM66:BP66)</f>
        <v>0</v>
      </c>
      <c r="Q66" s="29">
        <f t="shared" ref="Q66" si="163">SUM(BQ66:BT66)</f>
        <v>0</v>
      </c>
      <c r="R66" s="29">
        <f t="shared" ref="R66" si="164">SUM(BU66:BX66)</f>
        <v>0</v>
      </c>
      <c r="S66" s="29">
        <f t="shared" ref="S66" si="165">SUM(BY66:CB66)</f>
        <v>0</v>
      </c>
      <c r="T66" s="29">
        <f t="shared" ref="T66" si="166">SUM(CC66:CF66)</f>
        <v>0</v>
      </c>
      <c r="U66" s="29">
        <f t="shared" ref="U66" si="167">SUM(CG66:CJ66)</f>
        <v>0</v>
      </c>
      <c r="V66" s="29">
        <f t="shared" ref="V66" si="168">SUM(CK66:CN66)</f>
        <v>0</v>
      </c>
      <c r="W66" s="29">
        <f t="shared" ref="W66" si="169">SUM(CO66:CR66)</f>
        <v>0</v>
      </c>
      <c r="X66" s="29">
        <f t="shared" ref="X66" si="170">SUM(CS66:CV66)</f>
        <v>0</v>
      </c>
      <c r="Y66" s="29">
        <f t="shared" ref="Y66" si="171">SUM(CW66:CZ66)</f>
        <v>0</v>
      </c>
      <c r="Z66" s="29">
        <f t="shared" ref="Z66" si="172">SUM(DA66:DD66)</f>
        <v>0</v>
      </c>
      <c r="AA66" s="29">
        <f t="shared" ref="AA66" si="173">SUM(DE66:DH66)</f>
        <v>0</v>
      </c>
      <c r="AB66" s="29">
        <f t="shared" ref="AB66" si="174">SUM(DI66:DL66)</f>
        <v>0</v>
      </c>
      <c r="AC66" s="29">
        <f t="shared" ref="AC66" si="175">SUM(DM66:DP66)</f>
        <v>0</v>
      </c>
      <c r="AD66" s="29">
        <f t="shared" ref="AD66" si="176">SUM(DQ66:DT66)</f>
        <v>0</v>
      </c>
      <c r="AE66" s="29">
        <f t="shared" ref="AE66" si="177">SUM(DU66:DX66)</f>
        <v>0</v>
      </c>
      <c r="AF66" s="29">
        <f t="shared" ref="AF66" si="178">SUM(DY66:EB66)</f>
        <v>0</v>
      </c>
      <c r="AG66" s="29">
        <f t="shared" ref="AG66" si="179">SUM(EC66:EF66)</f>
        <v>0</v>
      </c>
      <c r="AH66" s="29">
        <f t="shared" ref="AH66" si="180">SUM(EG66:EJ66)</f>
        <v>0</v>
      </c>
      <c r="AO66" s="29">
        <v>5.0999999999999996</v>
      </c>
      <c r="AP66" s="29"/>
      <c r="AQ66" s="29"/>
      <c r="AR66" s="29"/>
      <c r="AS66" s="29">
        <v>50</v>
      </c>
      <c r="AT66" s="29">
        <v>92.4</v>
      </c>
      <c r="AU66" s="29">
        <v>81.099999999999994</v>
      </c>
      <c r="AV66" s="29">
        <v>113.6</v>
      </c>
      <c r="AW66" s="29">
        <v>92</v>
      </c>
      <c r="AX66" s="29">
        <v>123.3</v>
      </c>
      <c r="AY66" s="29">
        <v>142.9</v>
      </c>
      <c r="AZ66" s="29">
        <v>148</v>
      </c>
      <c r="BA66" s="29">
        <v>165</v>
      </c>
      <c r="BB66" s="28"/>
      <c r="BC66" s="28"/>
      <c r="BD66" s="28"/>
    </row>
    <row r="67" spans="1:63" x14ac:dyDescent="0.25">
      <c r="A67">
        <f>+A65+1</f>
        <v>56</v>
      </c>
      <c r="B67" t="s">
        <v>1097</v>
      </c>
      <c r="C67" t="s">
        <v>28</v>
      </c>
      <c r="H67" s="30">
        <f t="shared" si="51"/>
        <v>869</v>
      </c>
      <c r="I67" s="30"/>
      <c r="J67" s="29">
        <f t="shared" si="52"/>
        <v>104</v>
      </c>
      <c r="K67" s="29">
        <f t="shared" si="53"/>
        <v>340</v>
      </c>
      <c r="L67" s="29">
        <f t="shared" si="54"/>
        <v>425</v>
      </c>
      <c r="M67" s="29">
        <f t="shared" si="55"/>
        <v>0</v>
      </c>
      <c r="N67" s="29">
        <f t="shared" si="56"/>
        <v>0</v>
      </c>
      <c r="O67" s="29">
        <f t="shared" si="57"/>
        <v>0</v>
      </c>
      <c r="P67" s="29">
        <f t="shared" si="58"/>
        <v>0</v>
      </c>
      <c r="Q67" s="29">
        <f t="shared" si="59"/>
        <v>0</v>
      </c>
      <c r="R67" s="29">
        <f t="shared" si="151"/>
        <v>0</v>
      </c>
      <c r="S67" s="29">
        <f t="shared" si="152"/>
        <v>0</v>
      </c>
      <c r="T67" s="29">
        <f t="shared" si="153"/>
        <v>0</v>
      </c>
      <c r="U67" s="29">
        <f t="shared" si="154"/>
        <v>0</v>
      </c>
      <c r="V67" s="29">
        <f t="shared" si="124"/>
        <v>0</v>
      </c>
      <c r="W67" s="29">
        <f t="shared" si="125"/>
        <v>0</v>
      </c>
      <c r="X67" s="29">
        <f t="shared" si="64"/>
        <v>0</v>
      </c>
      <c r="Y67" s="29">
        <f t="shared" si="65"/>
        <v>0</v>
      </c>
      <c r="Z67" s="29">
        <f t="shared" si="66"/>
        <v>0</v>
      </c>
      <c r="AA67" s="29">
        <f t="shared" si="67"/>
        <v>0</v>
      </c>
      <c r="AB67" s="29">
        <f t="shared" si="68"/>
        <v>0</v>
      </c>
      <c r="AC67" s="29">
        <f t="shared" si="69"/>
        <v>0</v>
      </c>
      <c r="AD67" s="29">
        <f t="shared" si="70"/>
        <v>0</v>
      </c>
      <c r="AE67" s="29">
        <f t="shared" si="71"/>
        <v>0</v>
      </c>
      <c r="AF67" s="29">
        <f t="shared" si="72"/>
        <v>0</v>
      </c>
      <c r="AG67" s="29">
        <f t="shared" si="73"/>
        <v>0</v>
      </c>
      <c r="AH67" s="29">
        <f t="shared" si="74"/>
        <v>0</v>
      </c>
      <c r="AO67" s="28">
        <v>7</v>
      </c>
      <c r="AP67" s="28">
        <v>25</v>
      </c>
      <c r="AQ67" s="28">
        <v>31</v>
      </c>
      <c r="AR67" s="28">
        <v>41</v>
      </c>
      <c r="AS67" s="28">
        <v>52</v>
      </c>
      <c r="AT67" s="28">
        <v>76</v>
      </c>
      <c r="AU67" s="28">
        <v>106</v>
      </c>
      <c r="AV67" s="28">
        <v>106</v>
      </c>
      <c r="AW67" s="28">
        <v>125</v>
      </c>
      <c r="AX67" s="28">
        <v>136</v>
      </c>
      <c r="AY67" s="28">
        <v>164</v>
      </c>
    </row>
    <row r="68" spans="1:63" x14ac:dyDescent="0.25">
      <c r="A68">
        <f t="shared" si="155"/>
        <v>57</v>
      </c>
      <c r="B68" t="s">
        <v>1093</v>
      </c>
      <c r="C68" t="s">
        <v>28</v>
      </c>
      <c r="D68" t="s">
        <v>1377</v>
      </c>
      <c r="H68" s="30">
        <f t="shared" si="51"/>
        <v>812</v>
      </c>
      <c r="I68" s="30"/>
      <c r="J68" s="29">
        <f t="shared" si="52"/>
        <v>12</v>
      </c>
      <c r="K68" s="29">
        <f t="shared" si="53"/>
        <v>112</v>
      </c>
      <c r="L68" s="29">
        <f t="shared" si="54"/>
        <v>355</v>
      </c>
      <c r="M68" s="29">
        <f t="shared" si="55"/>
        <v>333</v>
      </c>
      <c r="N68" s="29">
        <f t="shared" si="56"/>
        <v>0</v>
      </c>
      <c r="O68" s="29">
        <f t="shared" si="57"/>
        <v>0</v>
      </c>
      <c r="P68" s="29">
        <f t="shared" si="58"/>
        <v>0</v>
      </c>
      <c r="Q68" s="29">
        <f t="shared" si="59"/>
        <v>0</v>
      </c>
      <c r="R68" s="29">
        <f t="shared" si="151"/>
        <v>0</v>
      </c>
      <c r="S68" s="29">
        <f t="shared" si="152"/>
        <v>0</v>
      </c>
      <c r="T68" s="29">
        <f t="shared" si="153"/>
        <v>0</v>
      </c>
      <c r="U68" s="29">
        <f t="shared" si="154"/>
        <v>0</v>
      </c>
      <c r="V68" s="29">
        <f t="shared" si="124"/>
        <v>0</v>
      </c>
      <c r="W68" s="29">
        <f t="shared" si="125"/>
        <v>0</v>
      </c>
      <c r="X68" s="29">
        <f t="shared" si="64"/>
        <v>0</v>
      </c>
      <c r="Y68" s="29">
        <f t="shared" si="65"/>
        <v>0</v>
      </c>
      <c r="Z68" s="29">
        <f t="shared" si="66"/>
        <v>0</v>
      </c>
      <c r="AA68" s="29">
        <f t="shared" si="67"/>
        <v>0</v>
      </c>
      <c r="AB68" s="29">
        <f t="shared" si="68"/>
        <v>0</v>
      </c>
      <c r="AC68" s="29">
        <f t="shared" si="69"/>
        <v>0</v>
      </c>
      <c r="AD68" s="29">
        <f t="shared" si="70"/>
        <v>0</v>
      </c>
      <c r="AE68" s="29">
        <f t="shared" si="71"/>
        <v>0</v>
      </c>
      <c r="AF68" s="29">
        <f t="shared" si="72"/>
        <v>0</v>
      </c>
      <c r="AG68" s="29">
        <f t="shared" si="73"/>
        <v>0</v>
      </c>
      <c r="AH68" s="29">
        <f t="shared" si="74"/>
        <v>0</v>
      </c>
      <c r="AO68" s="29">
        <v>1</v>
      </c>
      <c r="AP68" s="29">
        <v>2</v>
      </c>
      <c r="AQ68" s="29">
        <v>5</v>
      </c>
      <c r="AR68" s="29">
        <v>4</v>
      </c>
      <c r="AS68" s="29">
        <v>14</v>
      </c>
      <c r="AT68" s="29">
        <v>22</v>
      </c>
      <c r="AU68" s="29">
        <v>34</v>
      </c>
      <c r="AV68" s="29">
        <v>42</v>
      </c>
      <c r="AW68" s="29">
        <v>64</v>
      </c>
      <c r="AX68" s="29">
        <v>78</v>
      </c>
      <c r="AY68" s="29">
        <v>90</v>
      </c>
      <c r="AZ68" s="29">
        <v>123</v>
      </c>
      <c r="BA68" s="29">
        <v>151</v>
      </c>
      <c r="BB68" s="29">
        <v>182</v>
      </c>
    </row>
    <row r="69" spans="1:63" x14ac:dyDescent="0.25">
      <c r="A69">
        <f t="shared" si="155"/>
        <v>58</v>
      </c>
      <c r="B69" t="s">
        <v>1102</v>
      </c>
      <c r="C69" t="s">
        <v>28</v>
      </c>
      <c r="H69" s="30">
        <f t="shared" si="51"/>
        <v>765</v>
      </c>
      <c r="I69" s="30"/>
      <c r="J69" s="29">
        <f t="shared" si="52"/>
        <v>188</v>
      </c>
      <c r="K69" s="29">
        <f t="shared" si="53"/>
        <v>172</v>
      </c>
      <c r="L69" s="29">
        <f t="shared" si="54"/>
        <v>205</v>
      </c>
      <c r="M69" s="29">
        <f t="shared" si="55"/>
        <v>200</v>
      </c>
      <c r="N69" s="29">
        <f t="shared" si="56"/>
        <v>0</v>
      </c>
      <c r="O69" s="29">
        <f t="shared" si="57"/>
        <v>0</v>
      </c>
      <c r="P69" s="29">
        <f t="shared" si="58"/>
        <v>0</v>
      </c>
      <c r="Q69" s="29">
        <f t="shared" si="59"/>
        <v>0</v>
      </c>
      <c r="R69" s="29">
        <f t="shared" si="151"/>
        <v>0</v>
      </c>
      <c r="S69" s="29">
        <f t="shared" si="152"/>
        <v>0</v>
      </c>
      <c r="T69" s="29">
        <f t="shared" si="153"/>
        <v>0</v>
      </c>
      <c r="U69" s="29">
        <f t="shared" si="154"/>
        <v>0</v>
      </c>
      <c r="V69" s="29">
        <f t="shared" si="124"/>
        <v>0</v>
      </c>
      <c r="W69" s="29">
        <f t="shared" si="125"/>
        <v>0</v>
      </c>
      <c r="X69" s="29">
        <f t="shared" si="64"/>
        <v>0</v>
      </c>
      <c r="Y69" s="29">
        <f t="shared" si="65"/>
        <v>0</v>
      </c>
      <c r="Z69" s="29">
        <f t="shared" si="66"/>
        <v>0</v>
      </c>
      <c r="AA69" s="29">
        <f t="shared" si="67"/>
        <v>0</v>
      </c>
      <c r="AB69" s="29">
        <f t="shared" si="68"/>
        <v>0</v>
      </c>
      <c r="AC69" s="29">
        <f t="shared" si="69"/>
        <v>0</v>
      </c>
      <c r="AD69" s="29">
        <f t="shared" si="70"/>
        <v>0</v>
      </c>
      <c r="AE69" s="29">
        <f t="shared" si="71"/>
        <v>0</v>
      </c>
      <c r="AF69" s="29">
        <f t="shared" si="72"/>
        <v>0</v>
      </c>
      <c r="AG69" s="29">
        <f t="shared" si="73"/>
        <v>0</v>
      </c>
      <c r="AH69" s="29">
        <f t="shared" si="74"/>
        <v>0</v>
      </c>
      <c r="AO69" s="28">
        <v>35</v>
      </c>
      <c r="AP69" s="28">
        <v>68</v>
      </c>
      <c r="AQ69" s="28">
        <v>34</v>
      </c>
      <c r="AR69" s="28">
        <v>51</v>
      </c>
      <c r="AS69" s="28">
        <v>37</v>
      </c>
      <c r="AT69" s="28">
        <v>39</v>
      </c>
      <c r="AU69" s="28">
        <v>47</v>
      </c>
      <c r="AV69" s="28">
        <v>49</v>
      </c>
      <c r="AW69" s="28">
        <v>51</v>
      </c>
      <c r="AX69" s="28">
        <v>48</v>
      </c>
      <c r="AY69" s="28">
        <v>54</v>
      </c>
      <c r="AZ69" s="28">
        <v>52</v>
      </c>
      <c r="BA69" s="28">
        <v>49</v>
      </c>
      <c r="BB69" s="28">
        <v>51</v>
      </c>
      <c r="BC69" s="28">
        <v>53</v>
      </c>
      <c r="BD69" s="28">
        <v>47</v>
      </c>
    </row>
    <row r="70" spans="1:63" x14ac:dyDescent="0.25">
      <c r="A70">
        <f>+A69+1</f>
        <v>59</v>
      </c>
      <c r="B70" t="s">
        <v>1104</v>
      </c>
      <c r="C70" t="s">
        <v>28</v>
      </c>
      <c r="H70" s="30">
        <f t="shared" si="51"/>
        <v>658</v>
      </c>
      <c r="I70" s="30"/>
      <c r="J70" s="29">
        <f t="shared" si="52"/>
        <v>105</v>
      </c>
      <c r="K70" s="29">
        <f t="shared" si="53"/>
        <v>164</v>
      </c>
      <c r="L70" s="29">
        <f t="shared" si="54"/>
        <v>194</v>
      </c>
      <c r="M70" s="29">
        <f t="shared" si="55"/>
        <v>195</v>
      </c>
      <c r="N70" s="29">
        <f t="shared" si="56"/>
        <v>0</v>
      </c>
      <c r="O70" s="29">
        <f t="shared" si="57"/>
        <v>0</v>
      </c>
      <c r="P70" s="29">
        <f t="shared" si="58"/>
        <v>0</v>
      </c>
      <c r="Q70" s="29">
        <f t="shared" si="59"/>
        <v>0</v>
      </c>
      <c r="R70" s="29">
        <f t="shared" si="151"/>
        <v>0</v>
      </c>
      <c r="S70" s="29">
        <f t="shared" si="152"/>
        <v>0</v>
      </c>
      <c r="T70" s="29">
        <f t="shared" si="153"/>
        <v>0</v>
      </c>
      <c r="U70" s="29">
        <f t="shared" si="154"/>
        <v>0</v>
      </c>
      <c r="V70" s="29">
        <f t="shared" si="124"/>
        <v>0</v>
      </c>
      <c r="W70" s="29">
        <f t="shared" si="125"/>
        <v>0</v>
      </c>
      <c r="X70" s="29">
        <f t="shared" si="64"/>
        <v>0</v>
      </c>
      <c r="Y70" s="29">
        <f t="shared" si="65"/>
        <v>0</v>
      </c>
      <c r="Z70" s="29">
        <f t="shared" si="66"/>
        <v>0</v>
      </c>
      <c r="AA70" s="29">
        <f t="shared" si="67"/>
        <v>0</v>
      </c>
      <c r="AB70" s="29">
        <f t="shared" si="68"/>
        <v>0</v>
      </c>
      <c r="AC70" s="29">
        <f t="shared" si="69"/>
        <v>0</v>
      </c>
      <c r="AD70" s="29">
        <f t="shared" si="70"/>
        <v>0</v>
      </c>
      <c r="AE70" s="29">
        <f t="shared" si="71"/>
        <v>0</v>
      </c>
      <c r="AF70" s="29">
        <f t="shared" si="72"/>
        <v>0</v>
      </c>
      <c r="AG70" s="29">
        <f t="shared" si="73"/>
        <v>0</v>
      </c>
      <c r="AH70" s="29">
        <f t="shared" si="74"/>
        <v>0</v>
      </c>
      <c r="AO70" s="28">
        <v>15</v>
      </c>
      <c r="AP70" s="28">
        <v>21</v>
      </c>
      <c r="AQ70" s="28">
        <v>35</v>
      </c>
      <c r="AR70" s="28">
        <v>34</v>
      </c>
      <c r="AS70" s="28">
        <v>37</v>
      </c>
      <c r="AT70" s="28">
        <v>42</v>
      </c>
      <c r="AU70" s="28">
        <v>42</v>
      </c>
      <c r="AV70" s="28">
        <v>43</v>
      </c>
      <c r="AW70" s="28">
        <v>44</v>
      </c>
      <c r="AX70" s="28">
        <v>49</v>
      </c>
      <c r="AY70" s="28">
        <v>50</v>
      </c>
      <c r="AZ70" s="28">
        <v>51</v>
      </c>
      <c r="BA70" s="28">
        <v>52</v>
      </c>
      <c r="BB70" s="28">
        <v>53</v>
      </c>
      <c r="BC70" s="28">
        <v>45</v>
      </c>
      <c r="BD70" s="28">
        <v>45</v>
      </c>
    </row>
    <row r="71" spans="1:63" x14ac:dyDescent="0.25">
      <c r="A71">
        <f>+A65+1</f>
        <v>56</v>
      </c>
      <c r="B71" t="s">
        <v>2039</v>
      </c>
      <c r="C71" t="s">
        <v>19</v>
      </c>
      <c r="D71" t="s">
        <v>1378</v>
      </c>
      <c r="G71" t="s">
        <v>2040</v>
      </c>
      <c r="H71" s="30">
        <f>SUM(AO71:GL71)</f>
        <v>595.79999999999995</v>
      </c>
      <c r="I71" s="30"/>
      <c r="J71" s="29">
        <f>SUM(AO71:AR71)</f>
        <v>42.7</v>
      </c>
      <c r="K71" s="29">
        <f>SUM(AS71:AV71)</f>
        <v>408.1</v>
      </c>
      <c r="L71" s="29">
        <f>SUM(AW71:AZ71)</f>
        <v>145</v>
      </c>
      <c r="M71" s="29">
        <f>SUM(BA71:BD71)</f>
        <v>0</v>
      </c>
      <c r="N71" s="29">
        <f>SUM(BE71:BH71)</f>
        <v>0</v>
      </c>
      <c r="O71" s="29">
        <f>SUM(BI71:BL71)</f>
        <v>0</v>
      </c>
      <c r="P71" s="29">
        <f>SUM(BM71:BP71)</f>
        <v>0</v>
      </c>
      <c r="Q71" s="29">
        <f>SUM(BQ71:BT71)</f>
        <v>0</v>
      </c>
      <c r="R71" s="29">
        <f>SUM(BU71:BX71)</f>
        <v>0</v>
      </c>
      <c r="S71" s="29">
        <f>SUM(BY71:CB71)</f>
        <v>0</v>
      </c>
      <c r="T71" s="29">
        <f>SUM(CC71:CF71)</f>
        <v>0</v>
      </c>
      <c r="U71" s="29">
        <f>SUM(CG71:CJ71)</f>
        <v>0</v>
      </c>
      <c r="V71" s="29">
        <f>SUM(CK71:CN71)</f>
        <v>0</v>
      </c>
      <c r="W71" s="29">
        <f>SUM(CO71:CR71)</f>
        <v>0</v>
      </c>
      <c r="X71" s="29">
        <f>SUM(CS71:CV71)</f>
        <v>0</v>
      </c>
      <c r="Y71" s="29">
        <f>SUM(CW71:CZ71)</f>
        <v>0</v>
      </c>
      <c r="Z71" s="29">
        <f>SUM(DA71:DD71)</f>
        <v>0</v>
      </c>
      <c r="AA71" s="29">
        <f>SUM(DE71:DH71)</f>
        <v>0</v>
      </c>
      <c r="AB71" s="29">
        <f>SUM(DI71:DL71)</f>
        <v>0</v>
      </c>
      <c r="AC71" s="29">
        <f>SUM(DM71:DP71)</f>
        <v>0</v>
      </c>
      <c r="AD71" s="29">
        <f>SUM(DQ71:DT71)</f>
        <v>0</v>
      </c>
      <c r="AE71" s="29">
        <f>SUM(DU71:DX71)</f>
        <v>0</v>
      </c>
      <c r="AF71" s="29">
        <f>SUM(DY71:EB71)</f>
        <v>0</v>
      </c>
      <c r="AG71" s="29">
        <f>SUM(EC71:EF71)</f>
        <v>0</v>
      </c>
      <c r="AH71" s="29">
        <f>SUM(EG71:EJ71)</f>
        <v>0</v>
      </c>
      <c r="AO71" s="29">
        <v>3.1</v>
      </c>
      <c r="AP71" s="29">
        <v>4.3</v>
      </c>
      <c r="AQ71" s="29">
        <v>14.9</v>
      </c>
      <c r="AR71" s="29">
        <v>20.399999999999999</v>
      </c>
      <c r="AS71" s="29">
        <v>60.2</v>
      </c>
      <c r="AT71" s="29">
        <v>86.8</v>
      </c>
      <c r="AU71" s="29">
        <v>127.1</v>
      </c>
      <c r="AV71" s="29">
        <v>134</v>
      </c>
      <c r="AW71" s="29">
        <v>145</v>
      </c>
    </row>
    <row r="72" spans="1:63" x14ac:dyDescent="0.25">
      <c r="A72">
        <f>+A65+1</f>
        <v>56</v>
      </c>
      <c r="B72" t="s">
        <v>2035</v>
      </c>
      <c r="C72" t="s">
        <v>19</v>
      </c>
      <c r="H72" s="30">
        <f>SUM(AO72:GL72)</f>
        <v>477.30000000000007</v>
      </c>
      <c r="I72" s="30"/>
      <c r="J72" s="29">
        <f t="shared" ref="J72" si="181">SUM(AO72:AR72)</f>
        <v>132.4</v>
      </c>
      <c r="K72" s="29">
        <f t="shared" ref="K72" si="182">SUM(AS72:AV72)</f>
        <v>264.89999999999998</v>
      </c>
      <c r="L72" s="29">
        <f t="shared" ref="L72" si="183">SUM(AW72:AZ72)</f>
        <v>80</v>
      </c>
      <c r="M72" s="29">
        <f t="shared" ref="M72" si="184">SUM(BA72:BD72)</f>
        <v>0</v>
      </c>
      <c r="N72" s="29">
        <f t="shared" ref="N72" si="185">SUM(BE72:BH72)</f>
        <v>0</v>
      </c>
      <c r="O72" s="29">
        <f t="shared" ref="O72" si="186">SUM(BI72:BL72)</f>
        <v>0</v>
      </c>
      <c r="P72" s="29">
        <f t="shared" ref="P72" si="187">SUM(BM72:BP72)</f>
        <v>0</v>
      </c>
      <c r="Q72" s="29">
        <f t="shared" ref="Q72" si="188">SUM(BQ72:BT72)</f>
        <v>0</v>
      </c>
      <c r="R72" s="29">
        <f t="shared" ref="R72" si="189">SUM(BU72:BX72)</f>
        <v>0</v>
      </c>
      <c r="S72" s="29">
        <f t="shared" ref="S72" si="190">SUM(BY72:CB72)</f>
        <v>0</v>
      </c>
      <c r="T72" s="29">
        <f t="shared" ref="T72" si="191">SUM(CC72:CF72)</f>
        <v>0</v>
      </c>
      <c r="U72" s="29">
        <f t="shared" ref="U72" si="192">SUM(CG72:CJ72)</f>
        <v>0</v>
      </c>
      <c r="V72" s="29">
        <f t="shared" ref="V72" si="193">SUM(CK72:CN72)</f>
        <v>0</v>
      </c>
      <c r="W72" s="29">
        <f t="shared" ref="W72" si="194">SUM(CO72:CR72)</f>
        <v>0</v>
      </c>
      <c r="X72" s="29">
        <f t="shared" ref="X72" si="195">SUM(CS72:CV72)</f>
        <v>0</v>
      </c>
      <c r="Y72" s="29">
        <f t="shared" ref="Y72" si="196">SUM(CW72:CZ72)</f>
        <v>0</v>
      </c>
      <c r="Z72" s="29">
        <f t="shared" ref="Z72" si="197">SUM(DA72:DD72)</f>
        <v>0</v>
      </c>
      <c r="AA72" s="29">
        <f t="shared" ref="AA72" si="198">SUM(DE72:DH72)</f>
        <v>0</v>
      </c>
      <c r="AB72" s="29">
        <f t="shared" ref="AB72" si="199">SUM(DI72:DL72)</f>
        <v>0</v>
      </c>
      <c r="AC72" s="29">
        <f t="shared" ref="AC72" si="200">SUM(DM72:DP72)</f>
        <v>0</v>
      </c>
      <c r="AD72" s="29">
        <f t="shared" ref="AD72" si="201">SUM(DQ72:DT72)</f>
        <v>0</v>
      </c>
      <c r="AE72" s="29">
        <f t="shared" ref="AE72" si="202">SUM(DU72:DX72)</f>
        <v>0</v>
      </c>
      <c r="AF72" s="29">
        <f t="shared" ref="AF72" si="203">SUM(DY72:EB72)</f>
        <v>0</v>
      </c>
      <c r="AG72" s="29">
        <f t="shared" ref="AG72" si="204">SUM(EC72:EF72)</f>
        <v>0</v>
      </c>
      <c r="AH72" s="29">
        <f t="shared" ref="AH72" si="205">SUM(EG72:EJ72)</f>
        <v>0</v>
      </c>
      <c r="AO72" s="29">
        <v>9.4</v>
      </c>
      <c r="AP72" s="29">
        <v>25.6</v>
      </c>
      <c r="AQ72" s="29">
        <v>40.5</v>
      </c>
      <c r="AR72" s="29">
        <v>56.9</v>
      </c>
      <c r="AS72" s="29">
        <v>37.200000000000003</v>
      </c>
      <c r="AT72" s="29">
        <v>74.8</v>
      </c>
      <c r="AU72" s="29">
        <v>64.900000000000006</v>
      </c>
      <c r="AV72" s="29">
        <v>88</v>
      </c>
      <c r="AW72" s="29">
        <v>80</v>
      </c>
      <c r="AX72" s="28"/>
      <c r="AY72" s="28"/>
      <c r="AZ72" s="28"/>
      <c r="BA72" s="28"/>
      <c r="BB72" s="28"/>
      <c r="BC72" s="28"/>
      <c r="BD72" s="28"/>
    </row>
    <row r="73" spans="1:63" x14ac:dyDescent="0.25">
      <c r="A73">
        <f>+A70+1</f>
        <v>60</v>
      </c>
      <c r="B73" t="s">
        <v>1103</v>
      </c>
      <c r="C73" t="s">
        <v>28</v>
      </c>
      <c r="H73" s="30">
        <f t="shared" si="51"/>
        <v>412</v>
      </c>
      <c r="I73" s="30"/>
      <c r="J73" s="29">
        <f t="shared" si="52"/>
        <v>52</v>
      </c>
      <c r="K73" s="29">
        <f t="shared" si="53"/>
        <v>104</v>
      </c>
      <c r="L73" s="29">
        <f t="shared" si="54"/>
        <v>138</v>
      </c>
      <c r="M73" s="29">
        <f t="shared" si="55"/>
        <v>118</v>
      </c>
      <c r="N73" s="29">
        <f t="shared" si="56"/>
        <v>0</v>
      </c>
      <c r="O73" s="29">
        <f t="shared" si="57"/>
        <v>0</v>
      </c>
      <c r="P73" s="29">
        <f t="shared" si="58"/>
        <v>0</v>
      </c>
      <c r="Q73" s="29">
        <f t="shared" si="59"/>
        <v>0</v>
      </c>
      <c r="R73" s="29">
        <f t="shared" si="151"/>
        <v>0</v>
      </c>
      <c r="S73" s="29">
        <f t="shared" si="152"/>
        <v>0</v>
      </c>
      <c r="T73" s="29">
        <f t="shared" si="153"/>
        <v>0</v>
      </c>
      <c r="U73" s="29">
        <f t="shared" si="154"/>
        <v>0</v>
      </c>
      <c r="V73" s="29">
        <f t="shared" si="124"/>
        <v>0</v>
      </c>
      <c r="W73" s="29">
        <f t="shared" si="125"/>
        <v>0</v>
      </c>
      <c r="X73" s="29">
        <f t="shared" si="64"/>
        <v>0</v>
      </c>
      <c r="Y73" s="29">
        <f t="shared" si="65"/>
        <v>0</v>
      </c>
      <c r="Z73" s="29">
        <f t="shared" si="66"/>
        <v>0</v>
      </c>
      <c r="AA73" s="29">
        <f t="shared" si="67"/>
        <v>0</v>
      </c>
      <c r="AB73" s="29">
        <f t="shared" si="68"/>
        <v>0</v>
      </c>
      <c r="AC73" s="29">
        <f t="shared" si="69"/>
        <v>0</v>
      </c>
      <c r="AD73" s="29">
        <f t="shared" si="70"/>
        <v>0</v>
      </c>
      <c r="AE73" s="29">
        <f t="shared" si="71"/>
        <v>0</v>
      </c>
      <c r="AF73" s="29">
        <f t="shared" si="72"/>
        <v>0</v>
      </c>
      <c r="AG73" s="29">
        <f t="shared" si="73"/>
        <v>0</v>
      </c>
      <c r="AH73" s="29">
        <f t="shared" si="74"/>
        <v>0</v>
      </c>
      <c r="AO73" s="28">
        <v>6</v>
      </c>
      <c r="AP73" s="28">
        <v>12</v>
      </c>
      <c r="AQ73" s="28">
        <v>17</v>
      </c>
      <c r="AR73" s="28">
        <v>17</v>
      </c>
      <c r="AS73" s="28">
        <v>22</v>
      </c>
      <c r="AT73" s="28">
        <v>24</v>
      </c>
      <c r="AU73" s="28">
        <v>27</v>
      </c>
      <c r="AV73" s="28">
        <v>31</v>
      </c>
      <c r="AW73" s="28">
        <v>30</v>
      </c>
      <c r="AX73" s="28">
        <v>36</v>
      </c>
      <c r="AY73" s="28">
        <v>36</v>
      </c>
      <c r="AZ73" s="28">
        <v>36</v>
      </c>
      <c r="BA73" s="28">
        <v>41</v>
      </c>
      <c r="BB73" s="28">
        <v>36</v>
      </c>
      <c r="BC73" s="28">
        <v>41</v>
      </c>
      <c r="BD73" s="28"/>
    </row>
    <row r="74" spans="1:63" x14ac:dyDescent="0.25">
      <c r="A74">
        <f>+A64+1</f>
        <v>54</v>
      </c>
      <c r="B74" t="s">
        <v>2033</v>
      </c>
      <c r="C74" t="s">
        <v>19</v>
      </c>
      <c r="D74" t="s">
        <v>2034</v>
      </c>
      <c r="H74" s="30">
        <f>SUM(AO74:GL74)</f>
        <v>382.8</v>
      </c>
      <c r="I74" s="30"/>
      <c r="J74" s="29">
        <f t="shared" ref="J74" si="206">SUM(AO74:AR74)</f>
        <v>79.400000000000006</v>
      </c>
      <c r="K74" s="29">
        <f t="shared" ref="K74" si="207">SUM(AS74:AV74)</f>
        <v>303.39999999999998</v>
      </c>
      <c r="L74" s="29">
        <f t="shared" ref="L74" si="208">SUM(AW74:AZ74)</f>
        <v>0</v>
      </c>
      <c r="M74" s="29">
        <f t="shared" ref="M74" si="209">SUM(BA74:BD74)</f>
        <v>0</v>
      </c>
      <c r="N74" s="29">
        <f t="shared" ref="N74" si="210">SUM(BE74:BH74)</f>
        <v>0</v>
      </c>
      <c r="O74" s="29">
        <f t="shared" ref="O74" si="211">SUM(BI74:BL74)</f>
        <v>0</v>
      </c>
      <c r="P74" s="29">
        <f t="shared" ref="P74" si="212">SUM(BM74:BP74)</f>
        <v>0</v>
      </c>
      <c r="Q74" s="29">
        <f t="shared" ref="Q74" si="213">SUM(BQ74:BT74)</f>
        <v>0</v>
      </c>
      <c r="R74" s="29">
        <f t="shared" ref="R74" si="214">SUM(BU74:BX74)</f>
        <v>0</v>
      </c>
      <c r="S74" s="29">
        <f t="shared" ref="S74" si="215">SUM(BY74:CB74)</f>
        <v>0</v>
      </c>
      <c r="T74" s="29">
        <f t="shared" ref="T74" si="216">SUM(CC74:CF74)</f>
        <v>0</v>
      </c>
      <c r="U74" s="29">
        <f t="shared" ref="U74" si="217">SUM(CG74:CJ74)</f>
        <v>0</v>
      </c>
      <c r="V74" s="29">
        <f t="shared" ref="V74" si="218">SUM(CK74:CN74)</f>
        <v>0</v>
      </c>
      <c r="W74" s="29">
        <f t="shared" ref="W74" si="219">SUM(CO74:CR74)</f>
        <v>0</v>
      </c>
      <c r="X74" s="29">
        <f t="shared" ref="X74" si="220">SUM(CS74:CV74)</f>
        <v>0</v>
      </c>
      <c r="Y74" s="29">
        <f t="shared" ref="Y74" si="221">SUM(CW74:CZ74)</f>
        <v>0</v>
      </c>
      <c r="Z74" s="29">
        <f t="shared" ref="Z74" si="222">SUM(DA74:DD74)</f>
        <v>0</v>
      </c>
      <c r="AA74" s="29">
        <f t="shared" ref="AA74" si="223">SUM(DE74:DH74)</f>
        <v>0</v>
      </c>
      <c r="AB74" s="29">
        <f t="shared" ref="AB74" si="224">SUM(DI74:DL74)</f>
        <v>0</v>
      </c>
      <c r="AC74" s="29">
        <f t="shared" ref="AC74" si="225">SUM(DM74:DP74)</f>
        <v>0</v>
      </c>
      <c r="AD74" s="29">
        <f t="shared" ref="AD74" si="226">SUM(DQ74:DT74)</f>
        <v>0</v>
      </c>
      <c r="AE74" s="29">
        <f t="shared" ref="AE74" si="227">SUM(DU74:DX74)</f>
        <v>0</v>
      </c>
      <c r="AF74" s="29">
        <f t="shared" ref="AF74" si="228">SUM(DY74:EB74)</f>
        <v>0</v>
      </c>
      <c r="AG74" s="29">
        <f t="shared" ref="AG74" si="229">SUM(EC74:EF74)</f>
        <v>0</v>
      </c>
      <c r="AH74" s="29">
        <f t="shared" ref="AH74" si="230">SUM(EG74:EJ74)</f>
        <v>0</v>
      </c>
      <c r="AO74" s="29">
        <v>1.4</v>
      </c>
      <c r="AP74" s="29">
        <v>7.9</v>
      </c>
      <c r="AQ74" s="29">
        <v>21.5</v>
      </c>
      <c r="AR74" s="29">
        <v>48.6</v>
      </c>
      <c r="AS74" s="29">
        <v>70.400000000000006</v>
      </c>
      <c r="AT74" s="29">
        <v>109</v>
      </c>
      <c r="AU74" s="29">
        <v>124</v>
      </c>
      <c r="AV74" s="28"/>
      <c r="AW74" s="28"/>
      <c r="AX74" s="28"/>
      <c r="AY74" s="28"/>
      <c r="AZ74" s="28"/>
      <c r="BA74" s="28"/>
      <c r="BB74" s="28"/>
      <c r="BC74" s="28"/>
      <c r="BD74" s="28"/>
    </row>
    <row r="75" spans="1:63" x14ac:dyDescent="0.25">
      <c r="A75">
        <f>+A63+1</f>
        <v>62</v>
      </c>
      <c r="B75" t="s">
        <v>1099</v>
      </c>
      <c r="C75" t="s">
        <v>28</v>
      </c>
      <c r="H75" s="30">
        <f t="shared" si="51"/>
        <v>28</v>
      </c>
      <c r="I75" s="30"/>
      <c r="J75" s="29">
        <f t="shared" si="52"/>
        <v>28</v>
      </c>
      <c r="K75" s="29">
        <f t="shared" si="53"/>
        <v>0</v>
      </c>
      <c r="L75" s="29">
        <f t="shared" si="54"/>
        <v>0</v>
      </c>
      <c r="M75" s="29">
        <f t="shared" si="55"/>
        <v>0</v>
      </c>
      <c r="N75" s="29">
        <f t="shared" si="56"/>
        <v>0</v>
      </c>
      <c r="O75" s="29">
        <f t="shared" si="57"/>
        <v>0</v>
      </c>
      <c r="P75" s="29">
        <f t="shared" si="58"/>
        <v>0</v>
      </c>
      <c r="Q75" s="29">
        <f t="shared" si="59"/>
        <v>0</v>
      </c>
      <c r="R75" s="29">
        <f t="shared" si="151"/>
        <v>0</v>
      </c>
      <c r="S75" s="29">
        <f t="shared" si="152"/>
        <v>0</v>
      </c>
      <c r="T75" s="29">
        <f t="shared" si="153"/>
        <v>0</v>
      </c>
      <c r="U75" s="29">
        <f t="shared" si="154"/>
        <v>0</v>
      </c>
      <c r="V75" s="29">
        <f t="shared" si="124"/>
        <v>0</v>
      </c>
      <c r="W75" s="29">
        <f t="shared" si="125"/>
        <v>0</v>
      </c>
      <c r="X75" s="29">
        <f t="shared" si="64"/>
        <v>0</v>
      </c>
      <c r="Y75" s="29">
        <f t="shared" si="65"/>
        <v>0</v>
      </c>
      <c r="Z75" s="29">
        <f t="shared" si="66"/>
        <v>0</v>
      </c>
      <c r="AA75" s="29">
        <f t="shared" si="67"/>
        <v>0</v>
      </c>
      <c r="AB75" s="29">
        <f t="shared" si="68"/>
        <v>0</v>
      </c>
      <c r="AC75" s="29">
        <f t="shared" si="69"/>
        <v>0</v>
      </c>
      <c r="AD75" s="29">
        <f t="shared" si="70"/>
        <v>0</v>
      </c>
      <c r="AE75" s="29">
        <f t="shared" si="71"/>
        <v>0</v>
      </c>
      <c r="AF75" s="29">
        <f t="shared" si="72"/>
        <v>0</v>
      </c>
      <c r="AG75" s="29">
        <f t="shared" si="73"/>
        <v>0</v>
      </c>
      <c r="AH75" s="29">
        <f t="shared" si="74"/>
        <v>0</v>
      </c>
      <c r="AO75" s="27">
        <v>6</v>
      </c>
      <c r="AP75" s="27">
        <v>22</v>
      </c>
    </row>
    <row r="76" spans="1:63" x14ac:dyDescent="0.25">
      <c r="A76">
        <f>+A64+1</f>
        <v>54</v>
      </c>
      <c r="B76" t="s">
        <v>2038</v>
      </c>
      <c r="C76" t="s">
        <v>19</v>
      </c>
      <c r="H76" s="30">
        <f t="shared" si="51"/>
        <v>0</v>
      </c>
      <c r="I76" s="30"/>
      <c r="J76" s="29">
        <f t="shared" ref="J76" si="231">SUM(AO76:AR76)</f>
        <v>0</v>
      </c>
      <c r="K76" s="29">
        <f t="shared" ref="K76" si="232">SUM(AS76:AV76)</f>
        <v>0</v>
      </c>
      <c r="L76" s="29">
        <f t="shared" ref="L76" si="233">SUM(AW76:AZ76)</f>
        <v>0</v>
      </c>
      <c r="M76" s="29">
        <f t="shared" ref="M76" si="234">SUM(BA76:BD76)</f>
        <v>0</v>
      </c>
      <c r="N76" s="29">
        <f t="shared" ref="N76" si="235">SUM(BE76:BH76)</f>
        <v>0</v>
      </c>
      <c r="O76" s="29">
        <f t="shared" ref="O76" si="236">SUM(BI76:BL76)</f>
        <v>0</v>
      </c>
      <c r="P76" s="29">
        <f t="shared" ref="P76" si="237">SUM(BM76:BP76)</f>
        <v>0</v>
      </c>
      <c r="Q76" s="29">
        <f t="shared" ref="Q76" si="238">SUM(BQ76:BT76)</f>
        <v>0</v>
      </c>
      <c r="R76" s="29">
        <f t="shared" ref="R76" si="239">SUM(BU76:BX76)</f>
        <v>0</v>
      </c>
      <c r="S76" s="29">
        <f t="shared" ref="S76" si="240">SUM(BY76:CB76)</f>
        <v>0</v>
      </c>
      <c r="T76" s="29">
        <f t="shared" ref="T76" si="241">SUM(CC76:CF76)</f>
        <v>0</v>
      </c>
      <c r="U76" s="29">
        <f t="shared" ref="U76" si="242">SUM(CG76:CJ76)</f>
        <v>0</v>
      </c>
      <c r="V76" s="29">
        <f t="shared" ref="V76" si="243">SUM(CK76:CN76)</f>
        <v>0</v>
      </c>
      <c r="W76" s="29">
        <f t="shared" ref="W76" si="244">SUM(CO76:CR76)</f>
        <v>0</v>
      </c>
      <c r="X76" s="29">
        <f t="shared" ref="X76" si="245">SUM(CS76:CV76)</f>
        <v>0</v>
      </c>
      <c r="Y76" s="29">
        <f t="shared" ref="Y76" si="246">SUM(CW76:CZ76)</f>
        <v>0</v>
      </c>
      <c r="Z76" s="29">
        <f t="shared" ref="Z76" si="247">SUM(DA76:DD76)</f>
        <v>0</v>
      </c>
      <c r="AA76" s="29">
        <f t="shared" ref="AA76" si="248">SUM(DE76:DH76)</f>
        <v>0</v>
      </c>
      <c r="AB76" s="29">
        <f t="shared" ref="AB76" si="249">SUM(DI76:DL76)</f>
        <v>0</v>
      </c>
      <c r="AC76" s="29">
        <f t="shared" ref="AC76" si="250">SUM(DM76:DP76)</f>
        <v>0</v>
      </c>
      <c r="AD76" s="29">
        <f t="shared" ref="AD76" si="251">SUM(DQ76:DT76)</f>
        <v>0</v>
      </c>
      <c r="AE76" s="29">
        <f t="shared" ref="AE76" si="252">SUM(DU76:DX76)</f>
        <v>0</v>
      </c>
      <c r="AF76" s="29">
        <f t="shared" ref="AF76" si="253">SUM(DY76:EB76)</f>
        <v>0</v>
      </c>
      <c r="AG76" s="29">
        <f t="shared" ref="AG76" si="254">SUM(EC76:EF76)</f>
        <v>0</v>
      </c>
      <c r="AH76" s="29">
        <f t="shared" ref="AH76" si="255">SUM(EG76:EJ76)</f>
        <v>0</v>
      </c>
    </row>
    <row r="77" spans="1:63" x14ac:dyDescent="0.25">
      <c r="H77" s="30"/>
      <c r="I77" s="30"/>
    </row>
    <row r="78" spans="1:63" x14ac:dyDescent="0.25">
      <c r="H78" s="30"/>
      <c r="I78" s="30"/>
    </row>
    <row r="81" spans="1:137" x14ac:dyDescent="0.25">
      <c r="B81" t="s">
        <v>1045</v>
      </c>
      <c r="C81">
        <v>6.86</v>
      </c>
    </row>
    <row r="82" spans="1:137" x14ac:dyDescent="0.25">
      <c r="B82" t="s">
        <v>1410</v>
      </c>
      <c r="C82" t="s">
        <v>30</v>
      </c>
      <c r="D82" t="s">
        <v>1377</v>
      </c>
      <c r="E82">
        <v>3</v>
      </c>
      <c r="H82" s="30">
        <f>SUM(AO82:EZ82)</f>
        <v>76424</v>
      </c>
      <c r="I82" s="30"/>
      <c r="J82" s="29">
        <v>146</v>
      </c>
      <c r="K82" s="29">
        <v>774</v>
      </c>
      <c r="L82" s="29">
        <v>1860</v>
      </c>
      <c r="M82" s="29">
        <v>3343</v>
      </c>
      <c r="N82" s="29">
        <v>4872</v>
      </c>
      <c r="O82" s="29">
        <v>6438</v>
      </c>
      <c r="P82" s="29">
        <v>7929</v>
      </c>
      <c r="Q82" s="29">
        <f>SUM(BQ82:BT82)</f>
        <v>8933</v>
      </c>
      <c r="R82" s="29">
        <f>SUM(BU82:BX82)</f>
        <v>10360</v>
      </c>
      <c r="S82" s="29">
        <f>SUM(BY82:CB82)</f>
        <v>11772</v>
      </c>
      <c r="T82" s="29">
        <f>SUM(CC82:CF82)</f>
        <v>12020</v>
      </c>
      <c r="U82" s="29">
        <f>SUM(CG82:CJ82)</f>
        <v>10010</v>
      </c>
      <c r="V82" s="29">
        <f>SUM(CK82:CN82)</f>
        <v>0</v>
      </c>
      <c r="W82" s="29">
        <f>SUM(CO82:CR82)</f>
        <v>0</v>
      </c>
      <c r="X82" s="29"/>
      <c r="Y82" s="29"/>
      <c r="Z82" s="29"/>
      <c r="AA82" s="29"/>
      <c r="AB82" s="29"/>
      <c r="AO82" s="29">
        <v>1</v>
      </c>
      <c r="AP82" s="29">
        <v>22</v>
      </c>
      <c r="AQ82" s="29">
        <v>12</v>
      </c>
      <c r="AR82" s="27">
        <v>41</v>
      </c>
      <c r="AS82" s="27">
        <v>71</v>
      </c>
      <c r="AT82" s="27">
        <v>106</v>
      </c>
      <c r="AU82" s="29">
        <v>171</v>
      </c>
      <c r="AV82" s="27">
        <v>216</v>
      </c>
      <c r="AW82" s="27">
        <v>281</v>
      </c>
      <c r="AX82" s="27">
        <v>355</v>
      </c>
      <c r="AY82" s="27">
        <v>437</v>
      </c>
      <c r="AZ82" s="27">
        <v>466</v>
      </c>
      <c r="BA82" s="27">
        <v>602</v>
      </c>
      <c r="BB82" s="27">
        <v>734</v>
      </c>
      <c r="BC82" s="27">
        <v>777</v>
      </c>
      <c r="BD82" s="27">
        <v>884</v>
      </c>
      <c r="BE82" s="27">
        <v>948</v>
      </c>
      <c r="BF82" s="27">
        <v>1101</v>
      </c>
      <c r="BG82" s="27">
        <v>1176</v>
      </c>
      <c r="BH82" s="27">
        <v>1232</v>
      </c>
      <c r="BI82" s="27">
        <v>1363</v>
      </c>
      <c r="BJ82" s="27">
        <v>1506</v>
      </c>
      <c r="BK82" s="27">
        <v>1650</v>
      </c>
      <c r="BL82" s="27">
        <v>1577</v>
      </c>
      <c r="BM82" s="27">
        <v>1705</v>
      </c>
      <c r="BN82" s="27">
        <v>1925</v>
      </c>
      <c r="BO82" s="27">
        <v>2042</v>
      </c>
      <c r="BP82" s="27">
        <v>1928</v>
      </c>
      <c r="BQ82" s="27">
        <v>2034</v>
      </c>
      <c r="BR82" s="27">
        <v>2641</v>
      </c>
      <c r="BS82" s="27">
        <v>2163</v>
      </c>
      <c r="BT82" s="27">
        <v>2095</v>
      </c>
      <c r="BU82" s="27">
        <v>2269</v>
      </c>
      <c r="BV82" s="27">
        <v>2886</v>
      </c>
      <c r="BW82" s="27">
        <v>2792</v>
      </c>
      <c r="BX82" s="27">
        <v>2413</v>
      </c>
      <c r="BY82" s="27">
        <v>2671</v>
      </c>
      <c r="BZ82" s="27">
        <v>3211</v>
      </c>
      <c r="CA82" s="27">
        <v>3235</v>
      </c>
      <c r="CB82" s="27">
        <v>2655</v>
      </c>
      <c r="CC82" s="27">
        <v>2688</v>
      </c>
      <c r="CD82" s="27">
        <v>3423</v>
      </c>
      <c r="CE82" s="27">
        <v>3204</v>
      </c>
      <c r="CF82" s="27">
        <v>2705</v>
      </c>
      <c r="CG82" s="27">
        <v>2874</v>
      </c>
      <c r="CH82" s="27">
        <v>3720</v>
      </c>
      <c r="CI82" s="27">
        <v>3416</v>
      </c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</row>
    <row r="83" spans="1:137" s="24" customFormat="1" ht="13" x14ac:dyDescent="0.3">
      <c r="A83"/>
      <c r="B83" t="s">
        <v>1409</v>
      </c>
      <c r="C83" t="s">
        <v>22</v>
      </c>
      <c r="D83" t="s">
        <v>1377</v>
      </c>
      <c r="E83">
        <v>3</v>
      </c>
      <c r="F83"/>
      <c r="G83"/>
      <c r="H83" s="30">
        <f>SUM(AO83:EZ83)</f>
        <v>42355</v>
      </c>
      <c r="I83" s="30"/>
      <c r="J83" s="29">
        <f>SUM(AO83:AR83)</f>
        <v>266</v>
      </c>
      <c r="K83" s="29">
        <f t="shared" ref="K83" si="256">SUM(AS83:AV83)</f>
        <v>788</v>
      </c>
      <c r="L83" s="29">
        <f t="shared" ref="L83" si="257">SUM(AW83:AZ83)</f>
        <v>1400</v>
      </c>
      <c r="M83" s="29">
        <f t="shared" ref="M83" si="258">SUM(BA83:BD83)</f>
        <v>1662</v>
      </c>
      <c r="N83" s="29">
        <f t="shared" ref="N83" si="259">SUM(BE83:BH83)</f>
        <v>2523</v>
      </c>
      <c r="O83" s="29">
        <f>SUM(BI83:BL83)</f>
        <v>3434</v>
      </c>
      <c r="P83" s="29">
        <f>SUM(BM83:BP83)</f>
        <v>4220</v>
      </c>
      <c r="Q83" s="29">
        <f>SUM(BQ83:BT83)</f>
        <v>4948</v>
      </c>
      <c r="R83" s="29">
        <f>SUM(BU83:BX83)</f>
        <v>5970</v>
      </c>
      <c r="S83" s="29">
        <f>SUM(BY83:CB83)</f>
        <v>6481</v>
      </c>
      <c r="T83" s="29">
        <f>SUM(CC83:CF83)</f>
        <v>6746</v>
      </c>
      <c r="U83" s="29">
        <f>SUM(CG83:CJ83)</f>
        <v>3917</v>
      </c>
      <c r="V83" s="29">
        <f>SUM(CK83:CN83)</f>
        <v>0</v>
      </c>
      <c r="W83" s="29">
        <f>SUM(CO83:CR83)</f>
        <v>0</v>
      </c>
      <c r="X83" s="29"/>
      <c r="Y83" s="29"/>
      <c r="Z83" s="29"/>
      <c r="AA83" s="29"/>
      <c r="AB83" s="29"/>
      <c r="AC83"/>
      <c r="AD83"/>
      <c r="AE83"/>
      <c r="AF83"/>
      <c r="AG83"/>
      <c r="AH83"/>
      <c r="AI83"/>
      <c r="AJ83"/>
      <c r="AK83"/>
      <c r="AL83"/>
      <c r="AM83"/>
      <c r="AN83"/>
      <c r="AO83" s="29">
        <v>37</v>
      </c>
      <c r="AP83" s="29">
        <v>57</v>
      </c>
      <c r="AQ83" s="29">
        <v>75</v>
      </c>
      <c r="AR83" s="30">
        <v>97</v>
      </c>
      <c r="AS83">
        <v>137</v>
      </c>
      <c r="AT83">
        <v>177</v>
      </c>
      <c r="AU83">
        <v>217</v>
      </c>
      <c r="AV83">
        <v>257</v>
      </c>
      <c r="AW83">
        <v>300</v>
      </c>
      <c r="AX83">
        <v>350</v>
      </c>
      <c r="AY83">
        <v>350</v>
      </c>
      <c r="AZ83">
        <v>400</v>
      </c>
      <c r="BA83">
        <v>354</v>
      </c>
      <c r="BB83">
        <v>371</v>
      </c>
      <c r="BC83">
        <v>449</v>
      </c>
      <c r="BD83">
        <v>488</v>
      </c>
      <c r="BE83">
        <v>564</v>
      </c>
      <c r="BF83">
        <v>605</v>
      </c>
      <c r="BG83">
        <v>644</v>
      </c>
      <c r="BH83">
        <v>710</v>
      </c>
      <c r="BI83">
        <v>765</v>
      </c>
      <c r="BJ83">
        <v>889</v>
      </c>
      <c r="BK83">
        <v>870</v>
      </c>
      <c r="BL83">
        <v>910</v>
      </c>
      <c r="BM83">
        <v>1011</v>
      </c>
      <c r="BN83">
        <v>1085</v>
      </c>
      <c r="BO83">
        <v>1025</v>
      </c>
      <c r="BP83">
        <v>1099</v>
      </c>
      <c r="BQ83">
        <v>1300</v>
      </c>
      <c r="BR83">
        <v>1272</v>
      </c>
      <c r="BS83">
        <v>1114</v>
      </c>
      <c r="BT83">
        <v>1262</v>
      </c>
      <c r="BU83">
        <v>1643</v>
      </c>
      <c r="BV83">
        <v>1481</v>
      </c>
      <c r="BW83">
        <v>1346</v>
      </c>
      <c r="BX83">
        <v>1500</v>
      </c>
      <c r="BY83">
        <v>1793</v>
      </c>
      <c r="BZ83">
        <v>1745</v>
      </c>
      <c r="CA83">
        <v>1464</v>
      </c>
      <c r="CB83">
        <v>1479</v>
      </c>
      <c r="CC83">
        <v>1874</v>
      </c>
      <c r="CD83">
        <v>1762</v>
      </c>
      <c r="CE83">
        <v>1498</v>
      </c>
      <c r="CF83">
        <v>1612</v>
      </c>
      <c r="CG83">
        <v>2040</v>
      </c>
      <c r="CH83">
        <v>1877</v>
      </c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</row>
    <row r="84" spans="1:137" x14ac:dyDescent="0.25">
      <c r="B84" t="s">
        <v>652</v>
      </c>
      <c r="C84" t="s">
        <v>26</v>
      </c>
      <c r="D84" t="s">
        <v>1380</v>
      </c>
      <c r="E84">
        <v>1</v>
      </c>
      <c r="H84" s="30">
        <f>SUM(AO84:GL84)</f>
        <v>49414</v>
      </c>
      <c r="I84" s="30"/>
      <c r="J84" s="29">
        <f>SUM(AO84:AR84)</f>
        <v>458</v>
      </c>
      <c r="K84" s="29">
        <f>SUM(AS84:AV84)</f>
        <v>1185</v>
      </c>
      <c r="L84" s="29">
        <f>SUM(AW84:AZ84)</f>
        <v>1364</v>
      </c>
      <c r="M84" s="29">
        <f>SUM(BA84:BD84)</f>
        <v>2269</v>
      </c>
      <c r="N84" s="29">
        <f>SUM(BE84:BH84)</f>
        <v>3039</v>
      </c>
      <c r="O84" s="29">
        <f>SUM(BI84:BL84)</f>
        <v>3912</v>
      </c>
      <c r="P84" s="29">
        <f>SUM(BM84:BP84)</f>
        <v>4017</v>
      </c>
      <c r="Q84" s="29">
        <f>SUM(BQ84:BT84)</f>
        <v>3970</v>
      </c>
      <c r="R84" s="29">
        <f>SUM(BU84:BX84)</f>
        <v>4024</v>
      </c>
      <c r="S84" s="29">
        <f>SUM(BY84:CB84)</f>
        <v>3897</v>
      </c>
      <c r="T84" s="29">
        <f>SUM(CC84:CF84)</f>
        <v>3731</v>
      </c>
      <c r="U84" s="29">
        <f>SUM(CG84:CJ84)</f>
        <v>3694</v>
      </c>
      <c r="V84" s="29">
        <f>SUM(CK84:CN84)</f>
        <v>3469</v>
      </c>
      <c r="W84" s="29">
        <f>SUM(CO84:CR84)</f>
        <v>3392</v>
      </c>
      <c r="X84" s="29"/>
      <c r="Y84" s="29"/>
      <c r="Z84" s="29"/>
      <c r="AA84" s="29"/>
      <c r="AB84" s="29"/>
      <c r="AO84" s="29">
        <v>42</v>
      </c>
      <c r="AP84" s="29">
        <v>87</v>
      </c>
      <c r="AQ84" s="29">
        <v>144</v>
      </c>
      <c r="AR84">
        <v>185</v>
      </c>
      <c r="AS84">
        <v>200</v>
      </c>
      <c r="AT84">
        <v>272</v>
      </c>
      <c r="AU84">
        <v>334</v>
      </c>
      <c r="AV84">
        <v>379</v>
      </c>
      <c r="AX84">
        <v>411</v>
      </c>
      <c r="AY84">
        <v>462</v>
      </c>
      <c r="AZ84">
        <v>491</v>
      </c>
      <c r="BA84">
        <v>558</v>
      </c>
      <c r="BB84">
        <v>511</v>
      </c>
      <c r="BC84">
        <v>600</v>
      </c>
      <c r="BD84">
        <v>600</v>
      </c>
      <c r="BE84">
        <v>675</v>
      </c>
      <c r="BF84">
        <v>739</v>
      </c>
      <c r="BG84">
        <v>779</v>
      </c>
      <c r="BH84">
        <v>846</v>
      </c>
      <c r="BI84">
        <v>960</v>
      </c>
      <c r="BJ84">
        <v>919</v>
      </c>
      <c r="BK84">
        <v>1058</v>
      </c>
      <c r="BL84">
        <v>975</v>
      </c>
      <c r="BM84">
        <v>1134</v>
      </c>
      <c r="BN84">
        <v>884</v>
      </c>
      <c r="BO84">
        <v>1072</v>
      </c>
      <c r="BP84">
        <v>927</v>
      </c>
      <c r="BQ84">
        <v>1121</v>
      </c>
      <c r="BR84">
        <v>858</v>
      </c>
      <c r="BS84">
        <v>1058</v>
      </c>
      <c r="BT84">
        <v>933</v>
      </c>
      <c r="BU84">
        <v>1082</v>
      </c>
      <c r="BV84">
        <v>884</v>
      </c>
      <c r="BW84">
        <v>1044</v>
      </c>
      <c r="BX84">
        <v>1014</v>
      </c>
      <c r="BY84">
        <v>921</v>
      </c>
      <c r="BZ84">
        <v>906</v>
      </c>
      <c r="CA84">
        <v>1064</v>
      </c>
      <c r="CB84">
        <v>1006</v>
      </c>
      <c r="CC84">
        <v>932</v>
      </c>
      <c r="CD84">
        <v>839</v>
      </c>
      <c r="CE84">
        <v>948</v>
      </c>
      <c r="CF84">
        <v>1012</v>
      </c>
      <c r="CG84">
        <v>938</v>
      </c>
      <c r="CH84">
        <v>880</v>
      </c>
      <c r="CI84">
        <v>949</v>
      </c>
      <c r="CJ84">
        <v>927</v>
      </c>
      <c r="CK84">
        <v>930</v>
      </c>
      <c r="CL84">
        <v>824</v>
      </c>
      <c r="CM84">
        <v>908</v>
      </c>
      <c r="CN84">
        <v>807</v>
      </c>
      <c r="CO84">
        <v>943</v>
      </c>
      <c r="CP84">
        <v>774</v>
      </c>
      <c r="CQ84">
        <v>854</v>
      </c>
      <c r="CR84">
        <v>821</v>
      </c>
      <c r="CS84">
        <v>857</v>
      </c>
      <c r="CT84">
        <v>809</v>
      </c>
      <c r="CU84">
        <v>784</v>
      </c>
      <c r="CV84">
        <v>852</v>
      </c>
      <c r="CW84">
        <v>878</v>
      </c>
      <c r="CX84">
        <v>779</v>
      </c>
      <c r="CY84">
        <v>756</v>
      </c>
      <c r="CZ84">
        <v>717</v>
      </c>
      <c r="DA84">
        <v>561</v>
      </c>
    </row>
    <row r="85" spans="1:137" ht="13" x14ac:dyDescent="0.3">
      <c r="B85" t="s">
        <v>653</v>
      </c>
      <c r="C85" t="s">
        <v>26</v>
      </c>
      <c r="D85" t="s">
        <v>1380</v>
      </c>
      <c r="E85">
        <v>1</v>
      </c>
      <c r="H85" s="30">
        <f>SUM(AO85:GL85)</f>
        <v>25362.5</v>
      </c>
      <c r="I85" s="30"/>
      <c r="J85" s="29">
        <f>SUM(AO85:AR85)</f>
        <v>131</v>
      </c>
      <c r="K85" s="29">
        <f>SUM(AS85:AV85)</f>
        <v>415.5</v>
      </c>
      <c r="L85" s="29">
        <f>SUM(AW85:AZ85)</f>
        <v>731</v>
      </c>
      <c r="M85" s="29">
        <f>SUM(BA85:BD85)</f>
        <v>1058</v>
      </c>
      <c r="N85" s="29">
        <f>SUM(BE85:BH85)</f>
        <v>1449</v>
      </c>
      <c r="O85" s="29">
        <f>SUM(BI85:BL85)</f>
        <v>1677</v>
      </c>
      <c r="P85" s="29">
        <f>SUM(BM85:BP85)</f>
        <v>1895</v>
      </c>
      <c r="Q85" s="29">
        <f>SUM(BQ85:BT85)</f>
        <v>2103</v>
      </c>
      <c r="R85" s="29">
        <f>SUM(BU85:BX85)</f>
        <v>2148</v>
      </c>
      <c r="S85" s="29">
        <f>SUM(BY85:CB85)</f>
        <v>2190</v>
      </c>
      <c r="T85" s="29">
        <f>SUM(CC85:CF85)</f>
        <v>2206</v>
      </c>
      <c r="U85" s="29">
        <f>SUM(CG85:CJ85)</f>
        <v>2213</v>
      </c>
      <c r="V85" s="29">
        <f>SUM(CK85:CN85)</f>
        <v>2014</v>
      </c>
      <c r="W85" s="29">
        <f>SUM(CO85:CR85)</f>
        <v>1954</v>
      </c>
      <c r="X85" s="29"/>
      <c r="Y85" s="29"/>
      <c r="Z85" s="29"/>
      <c r="AA85" s="29"/>
      <c r="AB85" s="29"/>
      <c r="AO85" s="27">
        <v>24</v>
      </c>
      <c r="AP85" s="27">
        <v>19</v>
      </c>
      <c r="AQ85" s="27">
        <v>30</v>
      </c>
      <c r="AR85">
        <v>58</v>
      </c>
      <c r="AS85">
        <v>72</v>
      </c>
      <c r="AT85">
        <v>101</v>
      </c>
      <c r="AU85" s="32">
        <f>AVERAGE(AT85,AV85)</f>
        <v>114.5</v>
      </c>
      <c r="AV85">
        <v>128</v>
      </c>
      <c r="AW85">
        <v>155</v>
      </c>
      <c r="AX85">
        <v>173</v>
      </c>
      <c r="AY85">
        <v>202</v>
      </c>
      <c r="AZ85">
        <v>201</v>
      </c>
      <c r="BA85">
        <v>218</v>
      </c>
      <c r="BB85">
        <v>247</v>
      </c>
      <c r="BC85">
        <v>288</v>
      </c>
      <c r="BD85">
        <v>305</v>
      </c>
      <c r="BE85">
        <v>321</v>
      </c>
      <c r="BF85">
        <v>350</v>
      </c>
      <c r="BG85">
        <v>386</v>
      </c>
      <c r="BH85">
        <v>392</v>
      </c>
      <c r="BI85">
        <v>411</v>
      </c>
      <c r="BJ85">
        <v>405</v>
      </c>
      <c r="BK85">
        <v>452</v>
      </c>
      <c r="BL85">
        <v>409</v>
      </c>
      <c r="BM85">
        <v>474</v>
      </c>
      <c r="BN85">
        <v>442</v>
      </c>
      <c r="BO85">
        <v>503</v>
      </c>
      <c r="BP85">
        <v>476</v>
      </c>
      <c r="BQ85">
        <v>519</v>
      </c>
      <c r="BR85">
        <v>505</v>
      </c>
      <c r="BS85">
        <v>570</v>
      </c>
      <c r="BT85">
        <v>509</v>
      </c>
      <c r="BU85">
        <v>554</v>
      </c>
      <c r="BV85">
        <v>562</v>
      </c>
      <c r="BW85">
        <v>526</v>
      </c>
      <c r="BX85">
        <v>506</v>
      </c>
      <c r="BY85">
        <v>569</v>
      </c>
      <c r="BZ85">
        <v>548</v>
      </c>
      <c r="CA85">
        <v>577</v>
      </c>
      <c r="CB85">
        <v>496</v>
      </c>
      <c r="CC85">
        <v>563</v>
      </c>
      <c r="CD85">
        <v>513</v>
      </c>
      <c r="CE85">
        <v>586</v>
      </c>
      <c r="CF85">
        <v>544</v>
      </c>
      <c r="CG85">
        <v>585</v>
      </c>
      <c r="CH85">
        <v>563</v>
      </c>
      <c r="CI85">
        <v>535</v>
      </c>
      <c r="CJ85">
        <v>530</v>
      </c>
      <c r="CK85">
        <v>533</v>
      </c>
      <c r="CL85">
        <v>503</v>
      </c>
      <c r="CM85">
        <v>475</v>
      </c>
      <c r="CN85">
        <v>503</v>
      </c>
      <c r="CO85">
        <v>490</v>
      </c>
      <c r="CP85">
        <v>506</v>
      </c>
      <c r="CQ85">
        <v>472</v>
      </c>
      <c r="CR85">
        <v>486</v>
      </c>
      <c r="CS85">
        <v>477</v>
      </c>
      <c r="CT85">
        <v>487</v>
      </c>
      <c r="CU85">
        <v>514</v>
      </c>
      <c r="CV85">
        <v>454</v>
      </c>
      <c r="CW85">
        <v>476</v>
      </c>
      <c r="CX85">
        <v>417</v>
      </c>
      <c r="CY85">
        <v>353</v>
      </c>
    </row>
  </sheetData>
  <sortState xmlns:xlrd2="http://schemas.microsoft.com/office/spreadsheetml/2017/richdata2" ref="A24:EG75">
    <sortCondition descending="1" ref="H24:H75"/>
  </sortState>
  <hyperlinks>
    <hyperlink ref="A1" location="Main!A1" display="Main" xr:uid="{9012D80B-2607-45E2-B8A7-B66EE6B2AA8D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0B2B-B27D-4DF2-80CD-010154B4E660}">
  <sheetPr codeName="Sheet2"/>
  <dimension ref="A1:C11"/>
  <sheetViews>
    <sheetView zoomScale="205" zoomScaleNormal="205" workbookViewId="0">
      <selection activeCell="C3" sqref="C3"/>
    </sheetView>
  </sheetViews>
  <sheetFormatPr defaultColWidth="8.81640625" defaultRowHeight="12.5" x14ac:dyDescent="0.25"/>
  <cols>
    <col min="1" max="1" width="4.81640625" bestFit="1" customWidth="1"/>
    <col min="2" max="2" width="11.453125" customWidth="1"/>
  </cols>
  <sheetData>
    <row r="1" spans="1:3" x14ac:dyDescent="0.25">
      <c r="A1" s="5" t="s">
        <v>282</v>
      </c>
    </row>
    <row r="2" spans="1:3" x14ac:dyDescent="0.25">
      <c r="B2" s="1" t="s">
        <v>3</v>
      </c>
      <c r="C2" s="2">
        <v>6.4836999999999998</v>
      </c>
    </row>
    <row r="3" spans="1:3" x14ac:dyDescent="0.25">
      <c r="B3" s="1" t="s">
        <v>4</v>
      </c>
      <c r="C3" s="2">
        <v>0.81799999999999995</v>
      </c>
    </row>
    <row r="4" spans="1:3" x14ac:dyDescent="0.25">
      <c r="B4" s="1" t="s">
        <v>5</v>
      </c>
      <c r="C4" s="1">
        <v>1.1100000000000001</v>
      </c>
    </row>
    <row r="5" spans="1:3" x14ac:dyDescent="0.25">
      <c r="B5" s="1" t="s">
        <v>6</v>
      </c>
      <c r="C5" s="1">
        <v>0.67</v>
      </c>
    </row>
    <row r="6" spans="1:3" x14ac:dyDescent="0.25">
      <c r="B6" s="1" t="s">
        <v>7</v>
      </c>
      <c r="C6" s="37">
        <v>1.3326</v>
      </c>
    </row>
    <row r="7" spans="1:3" x14ac:dyDescent="0.25">
      <c r="B7" t="s">
        <v>370</v>
      </c>
      <c r="C7">
        <v>163.85</v>
      </c>
    </row>
    <row r="8" spans="1:3" x14ac:dyDescent="0.25">
      <c r="B8" t="s">
        <v>393</v>
      </c>
      <c r="C8" s="39">
        <v>7.8</v>
      </c>
    </row>
    <row r="9" spans="1:3" x14ac:dyDescent="0.25">
      <c r="B9" t="s">
        <v>395</v>
      </c>
      <c r="C9">
        <v>1433</v>
      </c>
    </row>
    <row r="10" spans="1:3" x14ac:dyDescent="0.25">
      <c r="B10" t="s">
        <v>429</v>
      </c>
      <c r="C10">
        <v>82.55</v>
      </c>
    </row>
    <row r="11" spans="1:3" x14ac:dyDescent="0.25">
      <c r="B11" t="s">
        <v>433</v>
      </c>
      <c r="C11">
        <v>7.09</v>
      </c>
    </row>
  </sheetData>
  <hyperlinks>
    <hyperlink ref="A1" location="Main!A1" display="Main" xr:uid="{9344C38F-7C44-1C43-8F9F-12310F6083E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49DB-8F62-4CB2-88E6-87DDBD9316FC}">
  <sheetPr codeName="Sheet3"/>
  <dimension ref="A1:J140"/>
  <sheetViews>
    <sheetView zoomScale="145" zoomScaleNormal="145" workbookViewId="0">
      <pane xSplit="2" ySplit="2" topLeftCell="C35" activePane="bottomRight" state="frozen"/>
      <selection pane="topRight" activeCell="C1" sqref="C1"/>
      <selection pane="bottomLeft" activeCell="A3" sqref="A3"/>
      <selection pane="bottomRight"/>
    </sheetView>
  </sheetViews>
  <sheetFormatPr defaultColWidth="8.81640625" defaultRowHeight="12.5" x14ac:dyDescent="0.25"/>
  <cols>
    <col min="1" max="1" width="5" bestFit="1" customWidth="1"/>
    <col min="2" max="2" width="26.81640625" bestFit="1" customWidth="1"/>
    <col min="3" max="3" width="10.453125" bestFit="1" customWidth="1"/>
    <col min="5" max="5" width="9.81640625" bestFit="1" customWidth="1"/>
    <col min="7" max="7" width="15.453125" customWidth="1"/>
    <col min="8" max="8" width="10.7265625" style="27" customWidth="1"/>
    <col min="9" max="9" width="12.453125" customWidth="1"/>
  </cols>
  <sheetData>
    <row r="1" spans="1:10" x14ac:dyDescent="0.25">
      <c r="A1" s="5" t="s">
        <v>282</v>
      </c>
    </row>
    <row r="2" spans="1:10" x14ac:dyDescent="0.25">
      <c r="B2" t="s">
        <v>1</v>
      </c>
      <c r="C2" t="s">
        <v>2</v>
      </c>
      <c r="D2" t="s">
        <v>280</v>
      </c>
      <c r="E2" t="s">
        <v>320</v>
      </c>
      <c r="F2" t="s">
        <v>322</v>
      </c>
      <c r="G2" t="s">
        <v>323</v>
      </c>
      <c r="H2" s="27" t="s">
        <v>326</v>
      </c>
      <c r="I2" t="s">
        <v>423</v>
      </c>
      <c r="J2" t="s">
        <v>1020</v>
      </c>
    </row>
    <row r="3" spans="1:10" x14ac:dyDescent="0.25">
      <c r="B3" t="s">
        <v>496</v>
      </c>
      <c r="E3" t="s">
        <v>321</v>
      </c>
      <c r="F3">
        <v>3000</v>
      </c>
      <c r="G3" t="s">
        <v>497</v>
      </c>
    </row>
    <row r="4" spans="1:10" x14ac:dyDescent="0.25">
      <c r="B4" t="s">
        <v>475</v>
      </c>
      <c r="E4" t="s">
        <v>609</v>
      </c>
      <c r="F4">
        <v>401</v>
      </c>
      <c r="G4" t="s">
        <v>1015</v>
      </c>
      <c r="H4" s="36">
        <v>45070</v>
      </c>
    </row>
    <row r="5" spans="1:10" x14ac:dyDescent="0.25">
      <c r="B5" t="s">
        <v>437</v>
      </c>
      <c r="C5">
        <v>2018</v>
      </c>
      <c r="D5" t="s">
        <v>438</v>
      </c>
      <c r="E5" t="s">
        <v>389</v>
      </c>
      <c r="F5">
        <v>400</v>
      </c>
    </row>
    <row r="6" spans="1:10" x14ac:dyDescent="0.25">
      <c r="B6" t="s">
        <v>493</v>
      </c>
      <c r="E6" t="s">
        <v>321</v>
      </c>
      <c r="F6">
        <v>350</v>
      </c>
      <c r="G6" t="s">
        <v>1027</v>
      </c>
      <c r="H6" s="36">
        <v>44754</v>
      </c>
    </row>
    <row r="7" spans="1:10" x14ac:dyDescent="0.25">
      <c r="B7" t="s">
        <v>453</v>
      </c>
      <c r="C7">
        <v>2018</v>
      </c>
      <c r="E7" t="s">
        <v>389</v>
      </c>
      <c r="F7">
        <v>300</v>
      </c>
      <c r="G7" t="s">
        <v>1018</v>
      </c>
      <c r="J7">
        <v>1700</v>
      </c>
    </row>
    <row r="8" spans="1:10" x14ac:dyDescent="0.25">
      <c r="B8" t="s">
        <v>1033</v>
      </c>
      <c r="E8" t="s">
        <v>321</v>
      </c>
      <c r="F8">
        <v>290</v>
      </c>
      <c r="G8" t="s">
        <v>1034</v>
      </c>
      <c r="H8" s="36">
        <v>45400</v>
      </c>
    </row>
    <row r="9" spans="1:10" x14ac:dyDescent="0.25">
      <c r="B9" t="s">
        <v>448</v>
      </c>
      <c r="E9" t="s">
        <v>598</v>
      </c>
      <c r="F9">
        <v>221</v>
      </c>
      <c r="G9" t="s">
        <v>1018</v>
      </c>
      <c r="H9" s="36">
        <v>44670</v>
      </c>
    </row>
    <row r="10" spans="1:10" x14ac:dyDescent="0.25">
      <c r="B10" t="s">
        <v>473</v>
      </c>
    </row>
    <row r="11" spans="1:10" x14ac:dyDescent="0.25">
      <c r="B11" t="s">
        <v>474</v>
      </c>
    </row>
    <row r="12" spans="1:10" x14ac:dyDescent="0.25">
      <c r="B12" t="s">
        <v>476</v>
      </c>
      <c r="C12">
        <v>2019</v>
      </c>
      <c r="I12" t="s">
        <v>499</v>
      </c>
    </row>
    <row r="13" spans="1:10" x14ac:dyDescent="0.25">
      <c r="B13" t="s">
        <v>477</v>
      </c>
    </row>
    <row r="14" spans="1:10" x14ac:dyDescent="0.25">
      <c r="B14" t="s">
        <v>478</v>
      </c>
    </row>
    <row r="15" spans="1:10" x14ac:dyDescent="0.25">
      <c r="B15" t="s">
        <v>479</v>
      </c>
    </row>
    <row r="16" spans="1:10" x14ac:dyDescent="0.25">
      <c r="B16" t="s">
        <v>480</v>
      </c>
      <c r="E16" t="s">
        <v>389</v>
      </c>
      <c r="F16">
        <v>270</v>
      </c>
      <c r="G16" t="s">
        <v>1105</v>
      </c>
      <c r="H16" s="36">
        <v>44697</v>
      </c>
    </row>
    <row r="17" spans="2:9" x14ac:dyDescent="0.25">
      <c r="B17" t="s">
        <v>481</v>
      </c>
    </row>
    <row r="18" spans="2:9" x14ac:dyDescent="0.25">
      <c r="B18" t="s">
        <v>484</v>
      </c>
      <c r="E18" t="s">
        <v>389</v>
      </c>
      <c r="F18">
        <v>259</v>
      </c>
    </row>
    <row r="19" spans="2:9" x14ac:dyDescent="0.25">
      <c r="B19" t="s">
        <v>995</v>
      </c>
      <c r="C19">
        <v>2020</v>
      </c>
      <c r="E19" t="s">
        <v>598</v>
      </c>
      <c r="F19">
        <v>150</v>
      </c>
      <c r="H19" s="36">
        <v>44657</v>
      </c>
      <c r="I19" t="s">
        <v>996</v>
      </c>
    </row>
    <row r="20" spans="2:9" x14ac:dyDescent="0.25">
      <c r="B20" t="s">
        <v>482</v>
      </c>
    </row>
    <row r="21" spans="2:9" x14ac:dyDescent="0.25">
      <c r="B21" t="s">
        <v>1106</v>
      </c>
      <c r="E21" t="s">
        <v>598</v>
      </c>
      <c r="F21">
        <v>110</v>
      </c>
    </row>
    <row r="22" spans="2:9" x14ac:dyDescent="0.25">
      <c r="B22" t="s">
        <v>483</v>
      </c>
      <c r="C22">
        <v>2018</v>
      </c>
      <c r="E22" t="s">
        <v>609</v>
      </c>
      <c r="F22">
        <v>160</v>
      </c>
      <c r="G22" t="s">
        <v>612</v>
      </c>
      <c r="H22" s="36">
        <v>44817</v>
      </c>
      <c r="I22" t="s">
        <v>608</v>
      </c>
    </row>
    <row r="23" spans="2:9" x14ac:dyDescent="0.25">
      <c r="B23" t="s">
        <v>483</v>
      </c>
      <c r="C23">
        <v>2018</v>
      </c>
      <c r="E23" t="s">
        <v>389</v>
      </c>
      <c r="F23">
        <v>108</v>
      </c>
      <c r="G23" t="s">
        <v>611</v>
      </c>
      <c r="H23" s="36">
        <v>44362</v>
      </c>
    </row>
    <row r="24" spans="2:9" x14ac:dyDescent="0.25">
      <c r="B24" t="s">
        <v>483</v>
      </c>
      <c r="C24">
        <v>2018</v>
      </c>
      <c r="E24" t="s">
        <v>598</v>
      </c>
      <c r="F24">
        <v>105</v>
      </c>
      <c r="G24" t="s">
        <v>611</v>
      </c>
      <c r="H24" s="36">
        <v>44173</v>
      </c>
    </row>
    <row r="25" spans="2:9" x14ac:dyDescent="0.25">
      <c r="B25" t="s">
        <v>483</v>
      </c>
      <c r="C25">
        <v>2018</v>
      </c>
      <c r="E25" t="s">
        <v>321</v>
      </c>
      <c r="F25">
        <v>45</v>
      </c>
      <c r="G25" t="s">
        <v>610</v>
      </c>
      <c r="H25" s="36">
        <v>44118</v>
      </c>
    </row>
    <row r="26" spans="2:9" x14ac:dyDescent="0.25">
      <c r="H26" s="36"/>
    </row>
    <row r="27" spans="2:9" x14ac:dyDescent="0.25">
      <c r="B27" t="s">
        <v>388</v>
      </c>
      <c r="E27" t="s">
        <v>1030</v>
      </c>
      <c r="F27">
        <v>145</v>
      </c>
      <c r="G27" t="s">
        <v>1031</v>
      </c>
      <c r="H27" s="36">
        <v>45352</v>
      </c>
    </row>
    <row r="28" spans="2:9" x14ac:dyDescent="0.25">
      <c r="B28" t="s">
        <v>388</v>
      </c>
      <c r="E28" t="s">
        <v>609</v>
      </c>
      <c r="F28">
        <v>178</v>
      </c>
      <c r="G28" t="s">
        <v>1032</v>
      </c>
      <c r="H28" s="36">
        <v>44886</v>
      </c>
    </row>
    <row r="29" spans="2:9" x14ac:dyDescent="0.25">
      <c r="B29" t="s">
        <v>388</v>
      </c>
      <c r="E29" t="s">
        <v>389</v>
      </c>
      <c r="F29">
        <v>107</v>
      </c>
      <c r="I29" t="s">
        <v>390</v>
      </c>
    </row>
    <row r="31" spans="2:9" x14ac:dyDescent="0.25">
      <c r="B31" t="s">
        <v>490</v>
      </c>
      <c r="E31" t="s">
        <v>389</v>
      </c>
      <c r="F31">
        <v>140</v>
      </c>
      <c r="G31" t="s">
        <v>1676</v>
      </c>
      <c r="H31" s="36">
        <v>44601</v>
      </c>
    </row>
    <row r="32" spans="2:9" x14ac:dyDescent="0.25">
      <c r="B32" t="s">
        <v>1833</v>
      </c>
      <c r="E32" t="s">
        <v>321</v>
      </c>
      <c r="F32">
        <v>121</v>
      </c>
      <c r="G32" t="s">
        <v>1834</v>
      </c>
      <c r="H32" s="36">
        <v>45756</v>
      </c>
    </row>
    <row r="33" spans="2:8" x14ac:dyDescent="0.25">
      <c r="B33" t="s">
        <v>1023</v>
      </c>
      <c r="E33" t="s">
        <v>598</v>
      </c>
      <c r="F33">
        <v>75</v>
      </c>
      <c r="G33" t="s">
        <v>1024</v>
      </c>
      <c r="H33" s="36">
        <v>45308</v>
      </c>
    </row>
    <row r="34" spans="2:8" x14ac:dyDescent="0.25">
      <c r="B34" t="s">
        <v>1025</v>
      </c>
      <c r="E34" t="s">
        <v>389</v>
      </c>
      <c r="F34">
        <v>75</v>
      </c>
      <c r="G34" t="s">
        <v>1026</v>
      </c>
      <c r="H34" s="36">
        <v>45314</v>
      </c>
    </row>
    <row r="35" spans="2:8" x14ac:dyDescent="0.25">
      <c r="B35" t="s">
        <v>1107</v>
      </c>
      <c r="H35" s="36"/>
    </row>
    <row r="36" spans="2:8" x14ac:dyDescent="0.25">
      <c r="B36" t="s">
        <v>485</v>
      </c>
    </row>
    <row r="37" spans="2:8" x14ac:dyDescent="0.25">
      <c r="B37" t="s">
        <v>486</v>
      </c>
    </row>
    <row r="38" spans="2:8" x14ac:dyDescent="0.25">
      <c r="B38" t="s">
        <v>487</v>
      </c>
    </row>
    <row r="39" spans="2:8" x14ac:dyDescent="0.25">
      <c r="B39" t="s">
        <v>488</v>
      </c>
    </row>
    <row r="40" spans="2:8" x14ac:dyDescent="0.25">
      <c r="B40" t="s">
        <v>489</v>
      </c>
    </row>
    <row r="41" spans="2:8" x14ac:dyDescent="0.25">
      <c r="B41" t="s">
        <v>1002</v>
      </c>
      <c r="C41">
        <v>2021</v>
      </c>
      <c r="F41">
        <v>20</v>
      </c>
      <c r="H41" s="36">
        <v>45030</v>
      </c>
    </row>
    <row r="42" spans="2:8" x14ac:dyDescent="0.25">
      <c r="B42" t="s">
        <v>1003</v>
      </c>
      <c r="C42">
        <v>2020</v>
      </c>
      <c r="F42">
        <v>20</v>
      </c>
      <c r="H42" s="36">
        <v>44987</v>
      </c>
    </row>
    <row r="43" spans="2:8" x14ac:dyDescent="0.25">
      <c r="H43" s="36"/>
    </row>
    <row r="44" spans="2:8" x14ac:dyDescent="0.25">
      <c r="B44" t="s">
        <v>1999</v>
      </c>
      <c r="C44">
        <v>2014</v>
      </c>
      <c r="E44" t="s">
        <v>609</v>
      </c>
      <c r="F44">
        <v>135</v>
      </c>
      <c r="G44" t="s">
        <v>2000</v>
      </c>
      <c r="H44" s="36">
        <v>44034</v>
      </c>
    </row>
    <row r="45" spans="2:8" x14ac:dyDescent="0.25">
      <c r="B45" t="s">
        <v>1999</v>
      </c>
      <c r="C45">
        <v>2014</v>
      </c>
      <c r="E45" t="s">
        <v>389</v>
      </c>
      <c r="F45">
        <v>104</v>
      </c>
      <c r="G45" t="s">
        <v>2001</v>
      </c>
      <c r="H45" s="36">
        <v>43642</v>
      </c>
    </row>
    <row r="46" spans="2:8" x14ac:dyDescent="0.25">
      <c r="H46" s="36"/>
    </row>
    <row r="47" spans="2:8" x14ac:dyDescent="0.25">
      <c r="B47" t="s">
        <v>1001</v>
      </c>
    </row>
    <row r="48" spans="2:8" x14ac:dyDescent="0.25">
      <c r="B48" t="s">
        <v>1004</v>
      </c>
      <c r="C48" s="12">
        <v>44188</v>
      </c>
      <c r="F48">
        <v>19</v>
      </c>
      <c r="H48" s="36">
        <v>44545</v>
      </c>
    </row>
    <row r="49" spans="2:8" x14ac:dyDescent="0.25">
      <c r="B49" t="s">
        <v>1028</v>
      </c>
      <c r="C49" s="12"/>
      <c r="E49" t="s">
        <v>321</v>
      </c>
      <c r="F49">
        <v>16.8</v>
      </c>
      <c r="G49" t="s">
        <v>1029</v>
      </c>
      <c r="H49" s="36">
        <v>45349</v>
      </c>
    </row>
    <row r="50" spans="2:8" x14ac:dyDescent="0.25">
      <c r="B50" t="s">
        <v>1173</v>
      </c>
      <c r="C50" s="12"/>
      <c r="H50" s="36"/>
    </row>
    <row r="51" spans="2:8" x14ac:dyDescent="0.25">
      <c r="B51" t="s">
        <v>1021</v>
      </c>
      <c r="C51" s="12"/>
      <c r="E51" t="s">
        <v>321</v>
      </c>
      <c r="F51">
        <v>14</v>
      </c>
      <c r="G51" t="s">
        <v>1022</v>
      </c>
      <c r="H51" s="36">
        <v>45307</v>
      </c>
    </row>
    <row r="52" spans="2:8" x14ac:dyDescent="0.25">
      <c r="B52" t="s">
        <v>1000</v>
      </c>
    </row>
    <row r="53" spans="2:8" x14ac:dyDescent="0.25">
      <c r="B53" t="s">
        <v>1178</v>
      </c>
    </row>
    <row r="54" spans="2:8" x14ac:dyDescent="0.25">
      <c r="B54" t="s">
        <v>491</v>
      </c>
    </row>
    <row r="55" spans="2:8" x14ac:dyDescent="0.25">
      <c r="B55" t="s">
        <v>492</v>
      </c>
    </row>
    <row r="56" spans="2:8" x14ac:dyDescent="0.25">
      <c r="B56" t="s">
        <v>440</v>
      </c>
    </row>
    <row r="57" spans="2:8" x14ac:dyDescent="0.25">
      <c r="B57" t="s">
        <v>1135</v>
      </c>
      <c r="E57" t="s">
        <v>598</v>
      </c>
      <c r="F57">
        <v>120</v>
      </c>
      <c r="H57" s="36">
        <v>45511</v>
      </c>
    </row>
    <row r="58" spans="2:8" x14ac:dyDescent="0.25">
      <c r="B58" t="s">
        <v>441</v>
      </c>
    </row>
    <row r="59" spans="2:8" x14ac:dyDescent="0.25">
      <c r="B59" t="s">
        <v>442</v>
      </c>
    </row>
    <row r="60" spans="2:8" x14ac:dyDescent="0.25">
      <c r="B60" t="s">
        <v>443</v>
      </c>
    </row>
    <row r="61" spans="2:8" x14ac:dyDescent="0.25">
      <c r="B61" t="s">
        <v>1310</v>
      </c>
      <c r="C61" s="12">
        <v>45196</v>
      </c>
      <c r="E61" t="s">
        <v>389</v>
      </c>
      <c r="F61">
        <v>175</v>
      </c>
      <c r="G61" t="s">
        <v>1311</v>
      </c>
    </row>
    <row r="62" spans="2:8" x14ac:dyDescent="0.25">
      <c r="B62" t="s">
        <v>444</v>
      </c>
    </row>
    <row r="63" spans="2:8" x14ac:dyDescent="0.25">
      <c r="B63" t="s">
        <v>446</v>
      </c>
    </row>
    <row r="64" spans="2:8" x14ac:dyDescent="0.25">
      <c r="B64" t="s">
        <v>445</v>
      </c>
    </row>
    <row r="65" spans="2:6" x14ac:dyDescent="0.25">
      <c r="B65" t="s">
        <v>447</v>
      </c>
      <c r="E65" t="s">
        <v>598</v>
      </c>
      <c r="F65">
        <v>500</v>
      </c>
    </row>
    <row r="66" spans="2:6" x14ac:dyDescent="0.25">
      <c r="B66" t="s">
        <v>449</v>
      </c>
    </row>
    <row r="67" spans="2:6" x14ac:dyDescent="0.25">
      <c r="B67" t="s">
        <v>450</v>
      </c>
    </row>
    <row r="68" spans="2:6" x14ac:dyDescent="0.25">
      <c r="B68" t="s">
        <v>451</v>
      </c>
    </row>
    <row r="69" spans="2:6" x14ac:dyDescent="0.25">
      <c r="B69" t="s">
        <v>452</v>
      </c>
    </row>
    <row r="70" spans="2:6" x14ac:dyDescent="0.25">
      <c r="B70" t="s">
        <v>469</v>
      </c>
    </row>
    <row r="71" spans="2:6" x14ac:dyDescent="0.25">
      <c r="B71" t="s">
        <v>470</v>
      </c>
    </row>
    <row r="72" spans="2:6" x14ac:dyDescent="0.25">
      <c r="B72" t="s">
        <v>472</v>
      </c>
    </row>
    <row r="73" spans="2:6" x14ac:dyDescent="0.25">
      <c r="B73" t="s">
        <v>471</v>
      </c>
    </row>
    <row r="74" spans="2:6" x14ac:dyDescent="0.25">
      <c r="B74" t="s">
        <v>454</v>
      </c>
    </row>
    <row r="75" spans="2:6" x14ac:dyDescent="0.25">
      <c r="B75" t="s">
        <v>455</v>
      </c>
    </row>
    <row r="76" spans="2:6" x14ac:dyDescent="0.25">
      <c r="B76" t="s">
        <v>457</v>
      </c>
    </row>
    <row r="77" spans="2:6" x14ac:dyDescent="0.25">
      <c r="B77" t="s">
        <v>458</v>
      </c>
    </row>
    <row r="78" spans="2:6" x14ac:dyDescent="0.25">
      <c r="B78" t="s">
        <v>459</v>
      </c>
    </row>
    <row r="79" spans="2:6" x14ac:dyDescent="0.25">
      <c r="B79" t="s">
        <v>460</v>
      </c>
    </row>
    <row r="80" spans="2:6" x14ac:dyDescent="0.25">
      <c r="B80" t="s">
        <v>462</v>
      </c>
    </row>
    <row r="81" spans="2:6" x14ac:dyDescent="0.25">
      <c r="B81" t="s">
        <v>463</v>
      </c>
    </row>
    <row r="82" spans="2:6" x14ac:dyDescent="0.25">
      <c r="B82" t="s">
        <v>464</v>
      </c>
    </row>
    <row r="83" spans="2:6" x14ac:dyDescent="0.25">
      <c r="B83" t="s">
        <v>465</v>
      </c>
    </row>
    <row r="84" spans="2:6" x14ac:dyDescent="0.25">
      <c r="B84" t="s">
        <v>466</v>
      </c>
      <c r="E84" t="s">
        <v>598</v>
      </c>
      <c r="F84" t="s">
        <v>997</v>
      </c>
    </row>
    <row r="85" spans="2:6" x14ac:dyDescent="0.25">
      <c r="B85" t="s">
        <v>998</v>
      </c>
      <c r="E85" t="s">
        <v>321</v>
      </c>
      <c r="F85" t="s">
        <v>999</v>
      </c>
    </row>
    <row r="86" spans="2:6" x14ac:dyDescent="0.25">
      <c r="B86" t="s">
        <v>467</v>
      </c>
    </row>
    <row r="87" spans="2:6" x14ac:dyDescent="0.25">
      <c r="B87" t="s">
        <v>468</v>
      </c>
    </row>
    <row r="88" spans="2:6" x14ac:dyDescent="0.25">
      <c r="B88" t="s">
        <v>461</v>
      </c>
    </row>
    <row r="89" spans="2:6" x14ac:dyDescent="0.25">
      <c r="B89" t="s">
        <v>456</v>
      </c>
    </row>
    <row r="90" spans="2:6" x14ac:dyDescent="0.25">
      <c r="B90" t="s">
        <v>439</v>
      </c>
    </row>
    <row r="91" spans="2:6" x14ac:dyDescent="0.25">
      <c r="B91" t="s">
        <v>0</v>
      </c>
    </row>
    <row r="92" spans="2:6" x14ac:dyDescent="0.25">
      <c r="B92" t="s">
        <v>276</v>
      </c>
    </row>
    <row r="93" spans="2:6" x14ac:dyDescent="0.25">
      <c r="B93" t="s">
        <v>277</v>
      </c>
    </row>
    <row r="94" spans="2:6" x14ac:dyDescent="0.25">
      <c r="B94" t="s">
        <v>278</v>
      </c>
      <c r="C94">
        <v>2019</v>
      </c>
      <c r="D94" t="s">
        <v>279</v>
      </c>
    </row>
    <row r="95" spans="2:6" x14ac:dyDescent="0.25">
      <c r="B95" t="s">
        <v>281</v>
      </c>
    </row>
    <row r="96" spans="2:6" x14ac:dyDescent="0.25">
      <c r="B96" t="s">
        <v>283</v>
      </c>
    </row>
    <row r="97" spans="2:9" x14ac:dyDescent="0.25">
      <c r="B97" t="s">
        <v>286</v>
      </c>
    </row>
    <row r="98" spans="2:9" x14ac:dyDescent="0.25">
      <c r="B98" t="s">
        <v>319</v>
      </c>
      <c r="C98">
        <v>2019</v>
      </c>
      <c r="D98" t="s">
        <v>327</v>
      </c>
      <c r="E98" t="s">
        <v>321</v>
      </c>
      <c r="F98" t="s">
        <v>325</v>
      </c>
      <c r="G98" t="s">
        <v>324</v>
      </c>
      <c r="H98" s="36">
        <v>44599</v>
      </c>
    </row>
    <row r="99" spans="2:9" x14ac:dyDescent="0.25">
      <c r="B99" t="s">
        <v>334</v>
      </c>
      <c r="E99" t="s">
        <v>321</v>
      </c>
      <c r="F99" t="s">
        <v>335</v>
      </c>
    </row>
    <row r="100" spans="2:9" x14ac:dyDescent="0.25">
      <c r="B100" t="s">
        <v>336</v>
      </c>
    </row>
    <row r="101" spans="2:9" x14ac:dyDescent="0.25">
      <c r="B101" t="s">
        <v>1035</v>
      </c>
    </row>
    <row r="102" spans="2:9" x14ac:dyDescent="0.25">
      <c r="B102" t="s">
        <v>337</v>
      </c>
      <c r="I102" t="s">
        <v>338</v>
      </c>
    </row>
    <row r="103" spans="2:9" x14ac:dyDescent="0.25">
      <c r="B103" t="s">
        <v>380</v>
      </c>
    </row>
    <row r="104" spans="2:9" x14ac:dyDescent="0.25">
      <c r="B104" t="s">
        <v>383</v>
      </c>
      <c r="C104" t="s">
        <v>384</v>
      </c>
      <c r="E104" t="s">
        <v>321</v>
      </c>
      <c r="F104" t="s">
        <v>385</v>
      </c>
      <c r="H104" s="36">
        <v>43466</v>
      </c>
      <c r="I104" t="s">
        <v>386</v>
      </c>
    </row>
    <row r="105" spans="2:9" x14ac:dyDescent="0.25">
      <c r="B105" t="s">
        <v>387</v>
      </c>
    </row>
    <row r="107" spans="2:9" x14ac:dyDescent="0.25">
      <c r="B107" t="s">
        <v>394</v>
      </c>
      <c r="E107" t="s">
        <v>389</v>
      </c>
      <c r="F107">
        <v>121</v>
      </c>
    </row>
    <row r="108" spans="2:9" x14ac:dyDescent="0.25">
      <c r="B108" t="s">
        <v>411</v>
      </c>
    </row>
    <row r="109" spans="2:9" x14ac:dyDescent="0.25">
      <c r="B109" t="s">
        <v>414</v>
      </c>
    </row>
    <row r="110" spans="2:9" x14ac:dyDescent="0.25">
      <c r="B110" t="s">
        <v>416</v>
      </c>
    </row>
    <row r="111" spans="2:9" x14ac:dyDescent="0.25">
      <c r="B111" t="s">
        <v>421</v>
      </c>
      <c r="I111" t="s">
        <v>422</v>
      </c>
    </row>
    <row r="112" spans="2:9" x14ac:dyDescent="0.25">
      <c r="B112" t="s">
        <v>436</v>
      </c>
    </row>
    <row r="113" spans="2:9" x14ac:dyDescent="0.25">
      <c r="B113" t="s">
        <v>498</v>
      </c>
    </row>
    <row r="114" spans="2:9" x14ac:dyDescent="0.25">
      <c r="B114" t="s">
        <v>514</v>
      </c>
      <c r="I114" t="s">
        <v>515</v>
      </c>
    </row>
    <row r="115" spans="2:9" x14ac:dyDescent="0.25">
      <c r="B115" t="s">
        <v>517</v>
      </c>
      <c r="I115" t="s">
        <v>515</v>
      </c>
    </row>
    <row r="116" spans="2:9" x14ac:dyDescent="0.25">
      <c r="B116" t="s">
        <v>602</v>
      </c>
      <c r="C116">
        <v>2018</v>
      </c>
      <c r="D116" t="s">
        <v>605</v>
      </c>
      <c r="E116" t="s">
        <v>603</v>
      </c>
      <c r="F116" t="s">
        <v>604</v>
      </c>
      <c r="H116" s="36">
        <v>43251</v>
      </c>
    </row>
    <row r="117" spans="2:9" x14ac:dyDescent="0.25">
      <c r="B117" t="s">
        <v>602</v>
      </c>
      <c r="C117">
        <v>2018</v>
      </c>
      <c r="D117" t="s">
        <v>605</v>
      </c>
      <c r="E117" t="s">
        <v>601</v>
      </c>
      <c r="F117" t="s">
        <v>600</v>
      </c>
    </row>
    <row r="118" spans="2:9" x14ac:dyDescent="0.25">
      <c r="B118" t="s">
        <v>602</v>
      </c>
      <c r="C118">
        <v>2018</v>
      </c>
      <c r="D118" t="s">
        <v>605</v>
      </c>
      <c r="E118" t="s">
        <v>598</v>
      </c>
      <c r="F118" t="s">
        <v>599</v>
      </c>
    </row>
    <row r="119" spans="2:9" x14ac:dyDescent="0.25">
      <c r="B119" t="s">
        <v>606</v>
      </c>
      <c r="I119" t="s">
        <v>607</v>
      </c>
    </row>
    <row r="120" spans="2:9" x14ac:dyDescent="0.25">
      <c r="B120" t="s">
        <v>613</v>
      </c>
      <c r="E120" t="s">
        <v>598</v>
      </c>
      <c r="F120" t="s">
        <v>615</v>
      </c>
    </row>
    <row r="121" spans="2:9" x14ac:dyDescent="0.25">
      <c r="B121" t="s">
        <v>613</v>
      </c>
      <c r="E121" t="s">
        <v>321</v>
      </c>
      <c r="F121" t="s">
        <v>614</v>
      </c>
      <c r="G121" t="s">
        <v>616</v>
      </c>
    </row>
    <row r="122" spans="2:9" x14ac:dyDescent="0.25">
      <c r="B122" t="s">
        <v>617</v>
      </c>
      <c r="E122" t="s">
        <v>389</v>
      </c>
      <c r="F122" t="s">
        <v>618</v>
      </c>
    </row>
    <row r="123" spans="2:9" x14ac:dyDescent="0.25">
      <c r="B123" t="s">
        <v>617</v>
      </c>
      <c r="E123" t="s">
        <v>609</v>
      </c>
      <c r="F123" t="s">
        <v>604</v>
      </c>
    </row>
    <row r="124" spans="2:9" x14ac:dyDescent="0.25">
      <c r="B124" t="s">
        <v>1005</v>
      </c>
      <c r="E124" t="s">
        <v>598</v>
      </c>
      <c r="F124" t="s">
        <v>1006</v>
      </c>
    </row>
    <row r="125" spans="2:9" x14ac:dyDescent="0.25">
      <c r="B125" t="s">
        <v>1007</v>
      </c>
      <c r="E125" t="s">
        <v>321</v>
      </c>
      <c r="F125" t="s">
        <v>1008</v>
      </c>
    </row>
    <row r="126" spans="2:9" x14ac:dyDescent="0.25">
      <c r="B126" t="s">
        <v>1010</v>
      </c>
      <c r="E126" t="s">
        <v>1011</v>
      </c>
      <c r="F126" t="s">
        <v>1012</v>
      </c>
    </row>
    <row r="127" spans="2:9" x14ac:dyDescent="0.25">
      <c r="B127" t="s">
        <v>1013</v>
      </c>
    </row>
    <row r="128" spans="2:9" x14ac:dyDescent="0.25">
      <c r="B128" t="s">
        <v>1014</v>
      </c>
    </row>
    <row r="129" spans="2:9" x14ac:dyDescent="0.25">
      <c r="B129" t="s">
        <v>1644</v>
      </c>
    </row>
    <row r="130" spans="2:9" x14ac:dyDescent="0.25">
      <c r="B130" t="s">
        <v>1645</v>
      </c>
    </row>
    <row r="131" spans="2:9" x14ac:dyDescent="0.25">
      <c r="B131" t="s">
        <v>1666</v>
      </c>
      <c r="I131" t="s">
        <v>1667</v>
      </c>
    </row>
    <row r="132" spans="2:9" x14ac:dyDescent="0.25">
      <c r="B132" t="s">
        <v>1016</v>
      </c>
      <c r="E132" t="s">
        <v>1011</v>
      </c>
      <c r="F132" t="s">
        <v>1017</v>
      </c>
      <c r="G132" t="s">
        <v>1018</v>
      </c>
      <c r="H132" s="36">
        <v>44915</v>
      </c>
      <c r="I132" t="s">
        <v>1019</v>
      </c>
    </row>
    <row r="133" spans="2:9" x14ac:dyDescent="0.25">
      <c r="B133" t="s">
        <v>1672</v>
      </c>
    </row>
    <row r="134" spans="2:9" x14ac:dyDescent="0.25">
      <c r="B134" t="s">
        <v>1678</v>
      </c>
    </row>
    <row r="135" spans="2:9" x14ac:dyDescent="0.25">
      <c r="B135" t="s">
        <v>1673</v>
      </c>
    </row>
    <row r="136" spans="2:9" x14ac:dyDescent="0.25">
      <c r="B136" t="s">
        <v>1776</v>
      </c>
      <c r="I136" t="s">
        <v>1777</v>
      </c>
    </row>
    <row r="137" spans="2:9" x14ac:dyDescent="0.25">
      <c r="B137" t="s">
        <v>1778</v>
      </c>
      <c r="I137" t="s">
        <v>1779</v>
      </c>
    </row>
    <row r="138" spans="2:9" x14ac:dyDescent="0.25">
      <c r="B138" t="s">
        <v>1780</v>
      </c>
    </row>
    <row r="139" spans="2:9" x14ac:dyDescent="0.25">
      <c r="B139" t="s">
        <v>1781</v>
      </c>
    </row>
    <row r="140" spans="2:9" x14ac:dyDescent="0.25">
      <c r="B140" t="s">
        <v>1783</v>
      </c>
      <c r="I140" t="s">
        <v>1784</v>
      </c>
    </row>
  </sheetData>
  <hyperlinks>
    <hyperlink ref="A1" location="Main!A1" display="Main" xr:uid="{65B99B04-A55D-44D7-8C7C-94C201F1ED0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5FFF-8E15-4528-B07F-6A1BFCFA1FC9}">
  <dimension ref="A1:F25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" sqref="F3"/>
    </sheetView>
  </sheetViews>
  <sheetFormatPr defaultColWidth="8.81640625" defaultRowHeight="12.5" x14ac:dyDescent="0.25"/>
  <cols>
    <col min="1" max="1" width="5" bestFit="1" customWidth="1"/>
    <col min="2" max="2" width="13.453125" bestFit="1" customWidth="1"/>
    <col min="3" max="3" width="17.81640625" bestFit="1" customWidth="1"/>
    <col min="4" max="4" width="15.453125" bestFit="1" customWidth="1"/>
    <col min="5" max="6" width="9.1796875" style="27"/>
  </cols>
  <sheetData>
    <row r="1" spans="1:6" x14ac:dyDescent="0.25">
      <c r="A1" s="5" t="s">
        <v>282</v>
      </c>
    </row>
    <row r="2" spans="1:6" x14ac:dyDescent="0.25">
      <c r="B2" t="s">
        <v>1</v>
      </c>
      <c r="C2" t="s">
        <v>1331</v>
      </c>
      <c r="D2" t="s">
        <v>1312</v>
      </c>
      <c r="E2" s="27" t="s">
        <v>1321</v>
      </c>
      <c r="F2" s="27" t="s">
        <v>1322</v>
      </c>
    </row>
    <row r="3" spans="1:6" x14ac:dyDescent="0.25">
      <c r="B3" t="s">
        <v>1313</v>
      </c>
      <c r="C3" t="s">
        <v>1336</v>
      </c>
      <c r="D3" t="s">
        <v>1314</v>
      </c>
      <c r="E3" s="29">
        <v>21976.23993</v>
      </c>
      <c r="F3" s="29">
        <v>7825</v>
      </c>
    </row>
    <row r="4" spans="1:6" x14ac:dyDescent="0.25">
      <c r="B4" t="s">
        <v>1329</v>
      </c>
      <c r="D4" t="s">
        <v>1352</v>
      </c>
      <c r="E4" s="29">
        <v>18211.07</v>
      </c>
    </row>
    <row r="5" spans="1:6" x14ac:dyDescent="0.25">
      <c r="B5" t="s">
        <v>1328</v>
      </c>
      <c r="D5" t="s">
        <v>1352</v>
      </c>
      <c r="E5" s="29">
        <v>16117.395447000001</v>
      </c>
    </row>
    <row r="6" spans="1:6" x14ac:dyDescent="0.25">
      <c r="B6" t="s">
        <v>1327</v>
      </c>
      <c r="C6" t="s">
        <v>1337</v>
      </c>
      <c r="D6" t="s">
        <v>1353</v>
      </c>
      <c r="E6" s="29">
        <v>11227.234425000001</v>
      </c>
    </row>
    <row r="7" spans="1:6" x14ac:dyDescent="0.25">
      <c r="B7" t="s">
        <v>1315</v>
      </c>
      <c r="D7" t="s">
        <v>1352</v>
      </c>
      <c r="E7" s="29">
        <v>9575.6820260000004</v>
      </c>
    </row>
    <row r="8" spans="1:6" x14ac:dyDescent="0.25">
      <c r="B8" t="s">
        <v>1316</v>
      </c>
      <c r="C8" t="s">
        <v>1338</v>
      </c>
      <c r="D8" t="s">
        <v>1354</v>
      </c>
      <c r="E8" s="29">
        <v>8820.4850540000007</v>
      </c>
    </row>
    <row r="9" spans="1:6" x14ac:dyDescent="0.25">
      <c r="B9" t="s">
        <v>1325</v>
      </c>
      <c r="E9" s="29">
        <v>8737.9044240000003</v>
      </c>
    </row>
    <row r="10" spans="1:6" x14ac:dyDescent="0.25">
      <c r="B10" t="s">
        <v>1362</v>
      </c>
      <c r="C10" t="s">
        <v>1363</v>
      </c>
      <c r="D10" t="s">
        <v>1355</v>
      </c>
      <c r="E10" s="29"/>
      <c r="F10" s="29">
        <v>6000</v>
      </c>
    </row>
    <row r="11" spans="1:6" x14ac:dyDescent="0.25">
      <c r="B11" t="s">
        <v>1326</v>
      </c>
      <c r="C11" t="s">
        <v>1339</v>
      </c>
      <c r="D11" t="s">
        <v>1355</v>
      </c>
      <c r="E11" s="29">
        <v>5911.15</v>
      </c>
    </row>
    <row r="12" spans="1:6" x14ac:dyDescent="0.25">
      <c r="B12" t="s">
        <v>1317</v>
      </c>
      <c r="E12" s="29">
        <v>5768.7178190000004</v>
      </c>
    </row>
    <row r="13" spans="1:6" x14ac:dyDescent="0.25">
      <c r="B13" t="s">
        <v>1356</v>
      </c>
      <c r="C13" t="s">
        <v>1357</v>
      </c>
      <c r="D13" t="s">
        <v>1355</v>
      </c>
      <c r="E13" s="29"/>
      <c r="F13" s="29">
        <v>5600</v>
      </c>
    </row>
    <row r="14" spans="1:6" x14ac:dyDescent="0.25">
      <c r="B14" t="s">
        <v>1330</v>
      </c>
      <c r="E14" s="29">
        <v>5116.0800019999997</v>
      </c>
    </row>
    <row r="15" spans="1:6" x14ac:dyDescent="0.25">
      <c r="B15" t="s">
        <v>1319</v>
      </c>
      <c r="E15" s="29">
        <v>5001.7414399999998</v>
      </c>
    </row>
    <row r="16" spans="1:6" x14ac:dyDescent="0.25">
      <c r="B16" s="5" t="s">
        <v>1332</v>
      </c>
      <c r="C16" t="s">
        <v>1333</v>
      </c>
      <c r="E16" s="29">
        <v>4902.1930000000002</v>
      </c>
      <c r="F16" s="29">
        <v>3187.7679090000001</v>
      </c>
    </row>
    <row r="17" spans="2:5" x14ac:dyDescent="0.25">
      <c r="B17" t="s">
        <v>1318</v>
      </c>
      <c r="C17" t="s">
        <v>1340</v>
      </c>
      <c r="E17" s="29">
        <v>4012.7660850000002</v>
      </c>
    </row>
    <row r="18" spans="2:5" x14ac:dyDescent="0.25">
      <c r="B18" t="s">
        <v>1324</v>
      </c>
      <c r="E18" s="29">
        <v>3542.0446270000002</v>
      </c>
    </row>
    <row r="19" spans="2:5" x14ac:dyDescent="0.25">
      <c r="B19" t="s">
        <v>1335</v>
      </c>
      <c r="E19" s="29">
        <v>2643.6989920000001</v>
      </c>
    </row>
    <row r="20" spans="2:5" x14ac:dyDescent="0.25">
      <c r="B20" s="5" t="s">
        <v>1342</v>
      </c>
      <c r="E20" s="29">
        <v>1296.421245</v>
      </c>
    </row>
    <row r="21" spans="2:5" x14ac:dyDescent="0.25">
      <c r="B21" t="s">
        <v>1323</v>
      </c>
      <c r="E21" s="29">
        <v>1057</v>
      </c>
    </row>
    <row r="22" spans="2:5" x14ac:dyDescent="0.25">
      <c r="B22" t="s">
        <v>1334</v>
      </c>
      <c r="C22" t="s">
        <v>1341</v>
      </c>
      <c r="E22" s="29">
        <v>981.87468000000001</v>
      </c>
    </row>
    <row r="23" spans="2:5" x14ac:dyDescent="0.25">
      <c r="B23" t="s">
        <v>1320</v>
      </c>
      <c r="E23" s="29">
        <v>507.774765</v>
      </c>
    </row>
    <row r="24" spans="2:5" x14ac:dyDescent="0.25">
      <c r="B24" t="s">
        <v>1343</v>
      </c>
    </row>
    <row r="25" spans="2:5" x14ac:dyDescent="0.25">
      <c r="B25" t="s">
        <v>1344</v>
      </c>
    </row>
  </sheetData>
  <hyperlinks>
    <hyperlink ref="A1" location="Main!A1" display="Main" xr:uid="{A5D06D9C-5A5F-4219-91DC-EC46896EA7D7}"/>
    <hyperlink ref="B16" r:id="rId1" xr:uid="{58224390-4954-446C-A607-69D5082BF3A9}"/>
    <hyperlink ref="B20" r:id="rId2" xr:uid="{B090EDB5-C40B-4CBB-9675-88BEE621013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0EA-F83A-4483-B12E-DBBE9EC4FA2A}">
  <sheetPr codeName="Sheet4"/>
  <dimension ref="A1:AQ129"/>
  <sheetViews>
    <sheetView zoomScale="205" zoomScaleNormal="205" workbookViewId="0">
      <pane xSplit="2" ySplit="2" topLeftCell="AJ115" activePane="bottomRight" state="frozen"/>
      <selection pane="topRight" activeCell="C1" sqref="C1"/>
      <selection pane="bottomLeft" activeCell="A3" sqref="A3"/>
      <selection pane="bottomRight" activeCell="A129" sqref="A129:XFD129"/>
    </sheetView>
  </sheetViews>
  <sheetFormatPr defaultColWidth="8.81640625" defaultRowHeight="12.5" x14ac:dyDescent="0.25"/>
  <cols>
    <col min="1" max="1" width="5" bestFit="1" customWidth="1"/>
    <col min="2" max="2" width="15.453125" customWidth="1"/>
    <col min="3" max="3" width="10.453125" customWidth="1"/>
    <col min="4" max="4" width="12.453125" bestFit="1" customWidth="1"/>
    <col min="5" max="5" width="10.453125" bestFit="1" customWidth="1"/>
    <col min="6" max="6" width="9.453125" bestFit="1" customWidth="1"/>
    <col min="10" max="10" width="10.453125" customWidth="1"/>
  </cols>
  <sheetData>
    <row r="1" spans="1:15" x14ac:dyDescent="0.25">
      <c r="A1" s="5" t="s">
        <v>282</v>
      </c>
    </row>
    <row r="2" spans="1:15" x14ac:dyDescent="0.25">
      <c r="B2" t="s">
        <v>290</v>
      </c>
      <c r="C2" t="s">
        <v>291</v>
      </c>
      <c r="D2" t="s">
        <v>316</v>
      </c>
      <c r="E2" t="s">
        <v>1195</v>
      </c>
      <c r="F2" t="s">
        <v>1211</v>
      </c>
      <c r="G2" t="s">
        <v>423</v>
      </c>
    </row>
    <row r="3" spans="1:15" x14ac:dyDescent="0.25">
      <c r="B3" t="s">
        <v>1243</v>
      </c>
      <c r="C3" t="s">
        <v>1244</v>
      </c>
      <c r="D3" s="6">
        <v>76000</v>
      </c>
      <c r="E3">
        <v>2000</v>
      </c>
      <c r="G3" t="s">
        <v>1245</v>
      </c>
    </row>
    <row r="4" spans="1:15" x14ac:dyDescent="0.25">
      <c r="B4" t="s">
        <v>1197</v>
      </c>
      <c r="C4" t="s">
        <v>30</v>
      </c>
      <c r="D4" s="6">
        <v>74000</v>
      </c>
      <c r="E4" s="12">
        <v>43468</v>
      </c>
    </row>
    <row r="5" spans="1:15" x14ac:dyDescent="0.25">
      <c r="B5" t="s">
        <v>1199</v>
      </c>
      <c r="C5" t="s">
        <v>22</v>
      </c>
      <c r="D5" s="6">
        <v>68000</v>
      </c>
      <c r="E5" s="12">
        <v>39838</v>
      </c>
    </row>
    <row r="6" spans="1:15" x14ac:dyDescent="0.25">
      <c r="B6" t="s">
        <v>1240</v>
      </c>
      <c r="C6" t="s">
        <v>1241</v>
      </c>
      <c r="D6" s="6">
        <v>67000</v>
      </c>
      <c r="E6" s="8">
        <v>1999</v>
      </c>
      <c r="G6" t="s">
        <v>1242</v>
      </c>
    </row>
    <row r="7" spans="1:15" x14ac:dyDescent="0.25">
      <c r="B7" t="s">
        <v>1217</v>
      </c>
      <c r="C7" t="s">
        <v>33</v>
      </c>
      <c r="D7" s="6">
        <v>64000</v>
      </c>
      <c r="E7" s="12">
        <v>38103</v>
      </c>
      <c r="F7" s="12">
        <v>38103</v>
      </c>
    </row>
    <row r="8" spans="1:15" x14ac:dyDescent="0.25">
      <c r="B8" t="s">
        <v>1196</v>
      </c>
      <c r="C8" t="s">
        <v>17</v>
      </c>
      <c r="D8" s="6">
        <v>63000</v>
      </c>
      <c r="E8" s="12">
        <v>43641</v>
      </c>
    </row>
    <row r="9" spans="1:15" x14ac:dyDescent="0.25">
      <c r="B9" t="s">
        <v>1252</v>
      </c>
      <c r="C9" t="s">
        <v>251</v>
      </c>
      <c r="D9" s="6">
        <v>63000</v>
      </c>
      <c r="E9" s="8">
        <v>2018</v>
      </c>
    </row>
    <row r="10" spans="1:15" x14ac:dyDescent="0.25">
      <c r="B10" t="s">
        <v>1256</v>
      </c>
      <c r="C10" t="s">
        <v>1050</v>
      </c>
      <c r="D10" s="6">
        <v>63000</v>
      </c>
      <c r="E10" s="8">
        <v>1996</v>
      </c>
      <c r="G10" t="s">
        <v>1257</v>
      </c>
    </row>
    <row r="11" spans="1:15" x14ac:dyDescent="0.25">
      <c r="B11" t="s">
        <v>1184</v>
      </c>
      <c r="C11" t="s">
        <v>59</v>
      </c>
      <c r="D11" s="6">
        <v>62000</v>
      </c>
      <c r="E11" s="12">
        <v>43473</v>
      </c>
      <c r="F11" s="12">
        <v>43473</v>
      </c>
    </row>
    <row r="12" spans="1:15" x14ac:dyDescent="0.25">
      <c r="B12" t="s">
        <v>1201</v>
      </c>
      <c r="C12" t="s">
        <v>22</v>
      </c>
      <c r="D12" s="6">
        <v>60000</v>
      </c>
      <c r="E12" s="47" t="s">
        <v>1200</v>
      </c>
    </row>
    <row r="13" spans="1:15" x14ac:dyDescent="0.25">
      <c r="B13" t="s">
        <v>1214</v>
      </c>
      <c r="C13" t="s">
        <v>20</v>
      </c>
      <c r="D13" s="6">
        <v>47000</v>
      </c>
      <c r="E13" s="8">
        <v>2019</v>
      </c>
      <c r="G13" t="s">
        <v>1216</v>
      </c>
    </row>
    <row r="14" spans="1:15" x14ac:dyDescent="0.25">
      <c r="A14" s="1"/>
      <c r="B14" s="5" t="s">
        <v>69</v>
      </c>
      <c r="C14" s="1" t="s">
        <v>70</v>
      </c>
      <c r="D14" s="6">
        <v>43000</v>
      </c>
      <c r="E14" s="8">
        <v>2023</v>
      </c>
      <c r="F14" s="6"/>
      <c r="G14" s="6"/>
      <c r="H14" s="3"/>
      <c r="I14" s="6"/>
      <c r="J14" s="9"/>
      <c r="K14" s="7"/>
      <c r="L14" s="10"/>
      <c r="M14" s="10"/>
      <c r="N14" s="10"/>
      <c r="O14" s="10"/>
    </row>
    <row r="15" spans="1:15" x14ac:dyDescent="0.25">
      <c r="A15" s="1"/>
      <c r="B15" t="s">
        <v>1204</v>
      </c>
      <c r="C15" t="s">
        <v>26</v>
      </c>
      <c r="D15" s="6">
        <v>41100</v>
      </c>
      <c r="E15" s="8">
        <v>2009</v>
      </c>
      <c r="F15" s="6"/>
      <c r="G15" s="6"/>
      <c r="H15" s="3"/>
      <c r="I15" s="6"/>
      <c r="J15" s="9"/>
      <c r="K15" s="7"/>
      <c r="L15" s="10"/>
      <c r="M15" s="10"/>
      <c r="N15" s="10"/>
      <c r="O15" s="10"/>
    </row>
    <row r="16" spans="1:15" x14ac:dyDescent="0.25">
      <c r="A16" s="1"/>
      <c r="B16" t="s">
        <v>1208</v>
      </c>
      <c r="C16" t="s">
        <v>92</v>
      </c>
      <c r="D16" s="6">
        <v>40500</v>
      </c>
      <c r="E16" s="8">
        <v>2015</v>
      </c>
      <c r="F16" s="6"/>
      <c r="G16" s="6"/>
      <c r="H16" s="3"/>
      <c r="I16" s="6"/>
      <c r="J16" s="9"/>
      <c r="K16" s="7"/>
      <c r="L16" s="10"/>
      <c r="M16" s="10"/>
      <c r="N16" s="10"/>
      <c r="O16" s="10"/>
    </row>
    <row r="17" spans="1:15" x14ac:dyDescent="0.25">
      <c r="A17" s="1"/>
      <c r="B17" t="s">
        <v>1238</v>
      </c>
      <c r="C17" t="s">
        <v>27</v>
      </c>
      <c r="D17" s="6">
        <v>39000</v>
      </c>
      <c r="E17" s="8">
        <v>2008</v>
      </c>
      <c r="F17" s="6"/>
      <c r="G17" s="49" t="s">
        <v>1239</v>
      </c>
      <c r="H17" s="3"/>
      <c r="I17" s="6"/>
      <c r="J17" s="9"/>
      <c r="K17" s="7"/>
      <c r="L17" s="10"/>
      <c r="M17" s="10"/>
      <c r="N17" s="10"/>
      <c r="O17" s="10"/>
    </row>
    <row r="18" spans="1:15" x14ac:dyDescent="0.25">
      <c r="B18" t="s">
        <v>1183</v>
      </c>
      <c r="C18" t="s">
        <v>1184</v>
      </c>
      <c r="D18" s="30">
        <v>32000</v>
      </c>
      <c r="E18">
        <v>2016</v>
      </c>
    </row>
    <row r="19" spans="1:15" x14ac:dyDescent="0.25">
      <c r="B19" t="s">
        <v>1251</v>
      </c>
      <c r="C19" t="s">
        <v>13</v>
      </c>
      <c r="D19" s="30">
        <v>30000</v>
      </c>
      <c r="E19" s="50">
        <v>2017</v>
      </c>
    </row>
    <row r="20" spans="1:15" x14ac:dyDescent="0.25">
      <c r="A20" s="1"/>
      <c r="B20" s="5" t="s">
        <v>99</v>
      </c>
      <c r="C20" s="1" t="s">
        <v>32</v>
      </c>
      <c r="D20" s="6">
        <v>27800</v>
      </c>
      <c r="E20">
        <v>2023</v>
      </c>
      <c r="F20" s="6"/>
      <c r="G20" s="6"/>
      <c r="H20" s="3"/>
      <c r="I20" s="6"/>
      <c r="J20" s="9"/>
    </row>
    <row r="21" spans="1:15" x14ac:dyDescent="0.25">
      <c r="A21" s="1"/>
      <c r="B21" t="s">
        <v>1219</v>
      </c>
      <c r="C21" t="s">
        <v>17</v>
      </c>
      <c r="D21" s="6">
        <v>21000</v>
      </c>
      <c r="E21">
        <v>2015</v>
      </c>
      <c r="F21">
        <v>2015</v>
      </c>
      <c r="G21" s="6"/>
      <c r="H21" s="3"/>
      <c r="I21" s="6"/>
      <c r="J21" s="9"/>
    </row>
    <row r="22" spans="1:15" x14ac:dyDescent="0.25">
      <c r="A22" s="1"/>
      <c r="B22" t="s">
        <v>1220</v>
      </c>
      <c r="C22" t="s">
        <v>43</v>
      </c>
      <c r="D22" s="6">
        <v>21000</v>
      </c>
      <c r="G22" s="6"/>
      <c r="H22" s="3"/>
      <c r="I22" s="6"/>
      <c r="J22" s="9"/>
    </row>
    <row r="23" spans="1:15" x14ac:dyDescent="0.25">
      <c r="A23" s="1"/>
      <c r="B23" t="s">
        <v>1198</v>
      </c>
      <c r="C23" t="s">
        <v>33</v>
      </c>
      <c r="D23" s="6">
        <v>20100</v>
      </c>
      <c r="E23" s="12">
        <v>40590</v>
      </c>
      <c r="F23" s="6"/>
      <c r="G23" s="6"/>
      <c r="H23" s="3"/>
      <c r="I23" s="6"/>
      <c r="J23" s="9"/>
    </row>
    <row r="24" spans="1:15" x14ac:dyDescent="0.25">
      <c r="B24" t="s">
        <v>1194</v>
      </c>
      <c r="C24" t="s">
        <v>21</v>
      </c>
      <c r="D24" s="30">
        <v>17000</v>
      </c>
      <c r="E24" s="46">
        <v>42036</v>
      </c>
      <c r="F24" s="12">
        <v>42250</v>
      </c>
    </row>
    <row r="25" spans="1:15" x14ac:dyDescent="0.25">
      <c r="B25" t="s">
        <v>1212</v>
      </c>
      <c r="C25" t="s">
        <v>32</v>
      </c>
      <c r="D25" s="30">
        <v>16000</v>
      </c>
      <c r="E25" s="47">
        <v>37239</v>
      </c>
      <c r="F25" s="12">
        <v>37449</v>
      </c>
    </row>
    <row r="26" spans="1:15" x14ac:dyDescent="0.25">
      <c r="B26" t="s">
        <v>1218</v>
      </c>
      <c r="C26" t="s">
        <v>36</v>
      </c>
      <c r="D26" s="30">
        <v>15600</v>
      </c>
      <c r="E26" s="47">
        <v>39196</v>
      </c>
      <c r="F26" s="47">
        <v>39196</v>
      </c>
    </row>
    <row r="27" spans="1:15" x14ac:dyDescent="0.25">
      <c r="B27" t="s">
        <v>1225</v>
      </c>
      <c r="C27" t="s">
        <v>1224</v>
      </c>
      <c r="D27" s="30">
        <v>14500</v>
      </c>
      <c r="E27" s="47">
        <v>42058</v>
      </c>
      <c r="F27" s="47"/>
    </row>
    <row r="28" spans="1:15" x14ac:dyDescent="0.25">
      <c r="B28" t="s">
        <v>396</v>
      </c>
      <c r="C28" t="s">
        <v>21</v>
      </c>
      <c r="D28" s="30">
        <v>14000</v>
      </c>
      <c r="E28" s="48">
        <v>2016</v>
      </c>
    </row>
    <row r="29" spans="1:15" x14ac:dyDescent="0.25">
      <c r="A29" s="1"/>
      <c r="B29" s="5" t="s">
        <v>595</v>
      </c>
      <c r="C29" t="s">
        <v>30</v>
      </c>
      <c r="D29" s="6">
        <v>12700</v>
      </c>
      <c r="E29" s="48">
        <v>2023</v>
      </c>
      <c r="F29" s="6"/>
      <c r="G29" s="6"/>
      <c r="H29" s="3"/>
      <c r="I29" s="6"/>
      <c r="J29" s="9"/>
    </row>
    <row r="30" spans="1:15" x14ac:dyDescent="0.25">
      <c r="A30" s="1"/>
      <c r="B30" t="s">
        <v>1222</v>
      </c>
      <c r="C30" t="s">
        <v>43</v>
      </c>
      <c r="D30" s="6">
        <v>11900</v>
      </c>
      <c r="E30" s="48">
        <v>2017</v>
      </c>
      <c r="F30" s="6"/>
      <c r="G30" s="6"/>
      <c r="H30" s="3"/>
      <c r="I30" s="6"/>
      <c r="J30" s="9"/>
    </row>
    <row r="31" spans="1:15" x14ac:dyDescent="0.25">
      <c r="B31" t="s">
        <v>351</v>
      </c>
      <c r="C31" t="s">
        <v>42</v>
      </c>
      <c r="D31" s="30">
        <v>11700</v>
      </c>
      <c r="E31">
        <v>2021</v>
      </c>
    </row>
    <row r="32" spans="1:15" x14ac:dyDescent="0.25">
      <c r="B32" t="s">
        <v>83</v>
      </c>
      <c r="C32" t="s">
        <v>21</v>
      </c>
      <c r="D32" s="30">
        <v>11600</v>
      </c>
      <c r="E32">
        <v>2022</v>
      </c>
    </row>
    <row r="33" spans="1:7" x14ac:dyDescent="0.25">
      <c r="B33" t="s">
        <v>412</v>
      </c>
      <c r="C33" t="s">
        <v>33</v>
      </c>
      <c r="D33" s="30">
        <v>11600</v>
      </c>
      <c r="E33" s="47">
        <v>43122</v>
      </c>
    </row>
    <row r="34" spans="1:7" x14ac:dyDescent="0.25">
      <c r="B34" t="s">
        <v>397</v>
      </c>
      <c r="C34" t="s">
        <v>21</v>
      </c>
      <c r="D34" s="30">
        <v>11400</v>
      </c>
      <c r="E34" s="12">
        <v>43633</v>
      </c>
    </row>
    <row r="35" spans="1:7" x14ac:dyDescent="0.25">
      <c r="B35" t="s">
        <v>1209</v>
      </c>
      <c r="C35" t="s">
        <v>43</v>
      </c>
      <c r="D35" s="30">
        <v>11000</v>
      </c>
      <c r="E35">
        <v>2011</v>
      </c>
    </row>
    <row r="36" spans="1:7" x14ac:dyDescent="0.25">
      <c r="A36" s="1"/>
      <c r="B36" t="s">
        <v>1009</v>
      </c>
      <c r="C36" t="s">
        <v>17</v>
      </c>
      <c r="D36" s="30">
        <v>10100</v>
      </c>
      <c r="E36" s="12">
        <v>45260</v>
      </c>
    </row>
    <row r="37" spans="1:7" x14ac:dyDescent="0.25">
      <c r="B37" t="s">
        <v>1206</v>
      </c>
      <c r="C37" t="s">
        <v>28</v>
      </c>
      <c r="D37" s="30">
        <v>9700</v>
      </c>
      <c r="E37">
        <v>2019</v>
      </c>
    </row>
    <row r="38" spans="1:7" x14ac:dyDescent="0.25">
      <c r="B38" t="s">
        <v>1236</v>
      </c>
      <c r="C38" t="s">
        <v>1197</v>
      </c>
      <c r="D38" s="30">
        <v>9000</v>
      </c>
      <c r="E38">
        <v>2018</v>
      </c>
    </row>
    <row r="39" spans="1:7" x14ac:dyDescent="0.25">
      <c r="B39" t="s">
        <v>1207</v>
      </c>
      <c r="C39" t="s">
        <v>28</v>
      </c>
      <c r="D39" s="30">
        <v>8700</v>
      </c>
      <c r="E39">
        <v>2018</v>
      </c>
    </row>
    <row r="40" spans="1:7" x14ac:dyDescent="0.25">
      <c r="B40" t="s">
        <v>143</v>
      </c>
      <c r="C40" t="s">
        <v>17</v>
      </c>
      <c r="D40" s="30">
        <v>8700</v>
      </c>
      <c r="F40" s="12">
        <v>45505</v>
      </c>
    </row>
    <row r="41" spans="1:7" x14ac:dyDescent="0.25">
      <c r="B41" t="s">
        <v>1223</v>
      </c>
      <c r="C41" t="s">
        <v>1224</v>
      </c>
      <c r="D41" s="30">
        <v>8700</v>
      </c>
      <c r="E41" s="12">
        <v>41421</v>
      </c>
      <c r="F41" s="12"/>
    </row>
    <row r="42" spans="1:7" x14ac:dyDescent="0.25">
      <c r="B42" t="s">
        <v>1205</v>
      </c>
      <c r="C42" t="s">
        <v>26</v>
      </c>
      <c r="D42" s="30">
        <v>8400</v>
      </c>
      <c r="E42">
        <v>2014</v>
      </c>
    </row>
    <row r="43" spans="1:7" x14ac:dyDescent="0.25">
      <c r="B43" t="s">
        <v>1253</v>
      </c>
      <c r="C43" t="s">
        <v>1254</v>
      </c>
      <c r="D43" s="30">
        <v>7700</v>
      </c>
      <c r="E43">
        <v>2005</v>
      </c>
      <c r="G43" t="s">
        <v>1242</v>
      </c>
    </row>
    <row r="44" spans="1:7" x14ac:dyDescent="0.25">
      <c r="B44" t="s">
        <v>1231</v>
      </c>
      <c r="C44" t="s">
        <v>1232</v>
      </c>
      <c r="D44" s="30">
        <v>7600</v>
      </c>
      <c r="E44">
        <v>2004</v>
      </c>
      <c r="G44" t="s">
        <v>1233</v>
      </c>
    </row>
    <row r="45" spans="1:7" x14ac:dyDescent="0.25">
      <c r="B45" t="s">
        <v>1235</v>
      </c>
      <c r="C45" t="s">
        <v>89</v>
      </c>
      <c r="D45" s="30">
        <v>7200</v>
      </c>
      <c r="E45">
        <v>2021</v>
      </c>
    </row>
    <row r="46" spans="1:7" x14ac:dyDescent="0.25">
      <c r="B46" t="s">
        <v>1226</v>
      </c>
      <c r="C46" t="s">
        <v>92</v>
      </c>
      <c r="D46" s="30">
        <v>6800</v>
      </c>
      <c r="E46">
        <v>2011</v>
      </c>
    </row>
    <row r="47" spans="1:7" x14ac:dyDescent="0.25">
      <c r="B47" t="s">
        <v>398</v>
      </c>
      <c r="C47" t="s">
        <v>21</v>
      </c>
      <c r="D47" s="30">
        <v>6700</v>
      </c>
      <c r="E47" s="12">
        <v>44543</v>
      </c>
    </row>
    <row r="48" spans="1:7" x14ac:dyDescent="0.25">
      <c r="B48" t="s">
        <v>1249</v>
      </c>
      <c r="C48" t="s">
        <v>1247</v>
      </c>
      <c r="D48" s="30">
        <v>6500</v>
      </c>
      <c r="E48">
        <v>2008</v>
      </c>
      <c r="G48" t="s">
        <v>1250</v>
      </c>
    </row>
    <row r="49" spans="1:7" x14ac:dyDescent="0.25">
      <c r="B49" t="s">
        <v>1227</v>
      </c>
      <c r="C49" t="s">
        <v>259</v>
      </c>
      <c r="D49" s="30">
        <v>5800</v>
      </c>
      <c r="E49" s="47" t="s">
        <v>1228</v>
      </c>
    </row>
    <row r="50" spans="1:7" x14ac:dyDescent="0.25">
      <c r="B50" s="1" t="s">
        <v>185</v>
      </c>
      <c r="C50" s="1" t="s">
        <v>21</v>
      </c>
      <c r="D50" s="30">
        <v>5400</v>
      </c>
      <c r="F50" s="12">
        <v>44840</v>
      </c>
    </row>
    <row r="51" spans="1:7" x14ac:dyDescent="0.25">
      <c r="B51" t="s">
        <v>1229</v>
      </c>
      <c r="C51" t="s">
        <v>27</v>
      </c>
      <c r="D51" s="30">
        <v>5100</v>
      </c>
      <c r="E51">
        <v>2005</v>
      </c>
      <c r="F51" s="12"/>
      <c r="G51" s="22" t="s">
        <v>1230</v>
      </c>
    </row>
    <row r="52" spans="1:7" x14ac:dyDescent="0.25">
      <c r="B52" t="s">
        <v>342</v>
      </c>
      <c r="C52" t="s">
        <v>13</v>
      </c>
      <c r="D52" s="30">
        <v>4900</v>
      </c>
      <c r="E52">
        <v>1999</v>
      </c>
    </row>
    <row r="53" spans="1:7" x14ac:dyDescent="0.25">
      <c r="A53" s="1"/>
      <c r="B53" t="s">
        <v>596</v>
      </c>
      <c r="C53" t="s">
        <v>597</v>
      </c>
      <c r="D53" s="6">
        <v>4800</v>
      </c>
      <c r="E53" s="12">
        <v>45207</v>
      </c>
    </row>
    <row r="54" spans="1:7" x14ac:dyDescent="0.25">
      <c r="B54" t="s">
        <v>341</v>
      </c>
      <c r="C54" t="s">
        <v>33</v>
      </c>
      <c r="D54" s="30">
        <v>4800</v>
      </c>
      <c r="E54" s="12">
        <v>43129</v>
      </c>
    </row>
    <row r="55" spans="1:7" x14ac:dyDescent="0.25">
      <c r="B55" t="s">
        <v>748</v>
      </c>
      <c r="C55" t="s">
        <v>43</v>
      </c>
      <c r="D55" s="30">
        <v>4300</v>
      </c>
      <c r="E55">
        <v>2024</v>
      </c>
    </row>
    <row r="56" spans="1:7" x14ac:dyDescent="0.25">
      <c r="A56" s="1"/>
      <c r="B56" s="1" t="s">
        <v>146</v>
      </c>
      <c r="C56" s="1" t="s">
        <v>147</v>
      </c>
      <c r="D56" s="6">
        <v>4100</v>
      </c>
      <c r="E56" s="12">
        <v>44715</v>
      </c>
    </row>
    <row r="57" spans="1:7" x14ac:dyDescent="0.25">
      <c r="A57" s="1"/>
      <c r="B57" t="s">
        <v>1234</v>
      </c>
      <c r="C57" t="s">
        <v>77</v>
      </c>
      <c r="D57" s="6">
        <v>4000</v>
      </c>
      <c r="E57">
        <v>2010</v>
      </c>
    </row>
    <row r="58" spans="1:7" x14ac:dyDescent="0.25">
      <c r="B58" t="s">
        <v>1210</v>
      </c>
      <c r="C58" t="s">
        <v>26</v>
      </c>
      <c r="D58" s="30">
        <v>3850</v>
      </c>
      <c r="E58">
        <v>2014</v>
      </c>
      <c r="G58" t="s">
        <v>1300</v>
      </c>
    </row>
    <row r="59" spans="1:7" x14ac:dyDescent="0.25">
      <c r="B59" s="1" t="s">
        <v>182</v>
      </c>
      <c r="C59" s="1" t="s">
        <v>32</v>
      </c>
      <c r="D59" s="6">
        <v>3700</v>
      </c>
      <c r="E59" s="12">
        <v>44777</v>
      </c>
    </row>
    <row r="60" spans="1:7" x14ac:dyDescent="0.25">
      <c r="B60" t="s">
        <v>1221</v>
      </c>
      <c r="C60" t="s">
        <v>43</v>
      </c>
      <c r="D60" s="30">
        <v>2500</v>
      </c>
      <c r="E60">
        <v>2006</v>
      </c>
    </row>
    <row r="61" spans="1:7" x14ac:dyDescent="0.25">
      <c r="B61" t="s">
        <v>343</v>
      </c>
      <c r="C61" t="s">
        <v>30</v>
      </c>
      <c r="D61" s="30">
        <v>2400</v>
      </c>
      <c r="F61" s="12">
        <v>40057</v>
      </c>
    </row>
    <row r="62" spans="1:7" x14ac:dyDescent="0.25">
      <c r="B62" t="s">
        <v>1213</v>
      </c>
      <c r="C62" t="s">
        <v>13</v>
      </c>
      <c r="D62" s="30">
        <v>2400</v>
      </c>
      <c r="E62">
        <v>2003</v>
      </c>
    </row>
    <row r="63" spans="1:7" x14ac:dyDescent="0.25">
      <c r="B63" t="s">
        <v>1246</v>
      </c>
      <c r="C63" t="s">
        <v>1247</v>
      </c>
      <c r="D63" s="30">
        <v>2300</v>
      </c>
      <c r="E63">
        <v>2006</v>
      </c>
    </row>
    <row r="64" spans="1:7" x14ac:dyDescent="0.25">
      <c r="B64" t="s">
        <v>1214</v>
      </c>
      <c r="C64" t="s">
        <v>20</v>
      </c>
      <c r="D64" s="30">
        <v>2100</v>
      </c>
      <c r="E64">
        <v>1990</v>
      </c>
      <c r="G64" t="s">
        <v>1215</v>
      </c>
    </row>
    <row r="65" spans="1:10" x14ac:dyDescent="0.25">
      <c r="B65" t="s">
        <v>1248</v>
      </c>
      <c r="C65" t="s">
        <v>1247</v>
      </c>
      <c r="D65" s="30">
        <v>2100</v>
      </c>
      <c r="E65">
        <v>2006</v>
      </c>
    </row>
    <row r="66" spans="1:10" x14ac:dyDescent="0.25">
      <c r="B66" t="s">
        <v>431</v>
      </c>
      <c r="C66" t="s">
        <v>26</v>
      </c>
      <c r="D66" s="30">
        <v>1350</v>
      </c>
      <c r="E66" s="12">
        <v>44886</v>
      </c>
    </row>
    <row r="67" spans="1:10" x14ac:dyDescent="0.25">
      <c r="B67" t="s">
        <v>1237</v>
      </c>
      <c r="C67" t="s">
        <v>13</v>
      </c>
      <c r="D67" s="30">
        <v>1000</v>
      </c>
      <c r="E67" s="12">
        <v>39955</v>
      </c>
    </row>
    <row r="68" spans="1:10" x14ac:dyDescent="0.25">
      <c r="B68" t="s">
        <v>1063</v>
      </c>
      <c r="C68" t="s">
        <v>37</v>
      </c>
      <c r="D68" s="30">
        <v>1000</v>
      </c>
      <c r="E68" s="12">
        <v>45300</v>
      </c>
    </row>
    <row r="69" spans="1:10" x14ac:dyDescent="0.25">
      <c r="B69" t="s">
        <v>250</v>
      </c>
      <c r="C69" t="s">
        <v>1238</v>
      </c>
      <c r="D69" s="30">
        <v>770</v>
      </c>
      <c r="E69" s="12">
        <v>44796</v>
      </c>
    </row>
    <row r="70" spans="1:10" x14ac:dyDescent="0.25">
      <c r="B70" t="s">
        <v>1202</v>
      </c>
      <c r="C70" t="s">
        <v>1201</v>
      </c>
      <c r="D70" s="30">
        <v>650</v>
      </c>
      <c r="E70" s="48" t="s">
        <v>1203</v>
      </c>
    </row>
    <row r="71" spans="1:10" x14ac:dyDescent="0.25">
      <c r="B71" t="s">
        <v>315</v>
      </c>
      <c r="C71" t="s">
        <v>43</v>
      </c>
      <c r="D71" s="30">
        <v>405</v>
      </c>
      <c r="E71" s="12">
        <v>44777</v>
      </c>
    </row>
    <row r="72" spans="1:10" x14ac:dyDescent="0.25">
      <c r="B72" t="s">
        <v>430</v>
      </c>
      <c r="C72" t="s">
        <v>17</v>
      </c>
    </row>
    <row r="73" spans="1:10" x14ac:dyDescent="0.25">
      <c r="B73" t="s">
        <v>992</v>
      </c>
      <c r="C73" t="s">
        <v>251</v>
      </c>
      <c r="E73">
        <v>2021</v>
      </c>
    </row>
    <row r="74" spans="1:10" x14ac:dyDescent="0.25">
      <c r="B74" t="s">
        <v>993</v>
      </c>
      <c r="C74" t="s">
        <v>251</v>
      </c>
      <c r="E74">
        <v>2020</v>
      </c>
    </row>
    <row r="75" spans="1:10" x14ac:dyDescent="0.25">
      <c r="B75" t="s">
        <v>994</v>
      </c>
      <c r="C75" t="s">
        <v>251</v>
      </c>
      <c r="E75">
        <v>2019</v>
      </c>
    </row>
    <row r="76" spans="1:10" x14ac:dyDescent="0.25">
      <c r="A76" s="1"/>
      <c r="B76" s="5" t="s">
        <v>255</v>
      </c>
      <c r="C76" s="1" t="s">
        <v>256</v>
      </c>
      <c r="D76" s="18">
        <v>44.85</v>
      </c>
      <c r="E76" s="6" cm="1">
        <f t="array" ref="E76">+D76*I76/HKD</f>
        <v>24515.28782275</v>
      </c>
      <c r="F76" s="6">
        <f>([221]Main!$J$5-[221]Main!$J$6)/HKD</f>
        <v>991.71512820512828</v>
      </c>
      <c r="G76" s="6">
        <f>+E76-F76</f>
        <v>23523.572694544873</v>
      </c>
      <c r="H76" s="3" t="s">
        <v>297</v>
      </c>
      <c r="I76" s="6">
        <f>+[221]Main!$J$3</f>
        <v>4263.5283170000002</v>
      </c>
      <c r="J76" s="9">
        <v>45086</v>
      </c>
    </row>
    <row r="77" spans="1:10" x14ac:dyDescent="0.25">
      <c r="A77" s="1"/>
      <c r="B77" s="1" t="s">
        <v>137</v>
      </c>
      <c r="C77" s="1" t="s">
        <v>138</v>
      </c>
      <c r="D77" s="7">
        <v>12.2</v>
      </c>
    </row>
    <row r="78" spans="1:10" x14ac:dyDescent="0.25">
      <c r="A78" s="1"/>
      <c r="B78" t="s">
        <v>684</v>
      </c>
      <c r="C78" t="s">
        <v>685</v>
      </c>
      <c r="D78" s="3">
        <v>92.93</v>
      </c>
      <c r="E78" s="6">
        <v>3490</v>
      </c>
    </row>
    <row r="79" spans="1:10" ht="13" x14ac:dyDescent="0.3">
      <c r="A79" s="1"/>
      <c r="B79" s="24" t="s">
        <v>504</v>
      </c>
      <c r="C79" s="24" t="s">
        <v>505</v>
      </c>
      <c r="D79" s="7">
        <v>23.01</v>
      </c>
      <c r="E79" s="6">
        <v>2080</v>
      </c>
    </row>
    <row r="80" spans="1:10" ht="13" x14ac:dyDescent="0.3">
      <c r="A80" s="1"/>
      <c r="B80" s="33" t="s">
        <v>339</v>
      </c>
      <c r="C80" s="33" t="s">
        <v>340</v>
      </c>
      <c r="D80" s="34">
        <v>14.86</v>
      </c>
      <c r="E80" s="35">
        <v>2880</v>
      </c>
    </row>
    <row r="81" spans="1:5" x14ac:dyDescent="0.25">
      <c r="A81" s="1"/>
      <c r="B81" s="1" t="s">
        <v>164</v>
      </c>
      <c r="C81" s="1" t="s">
        <v>165</v>
      </c>
      <c r="D81" s="3">
        <v>2.15</v>
      </c>
      <c r="E81" s="6">
        <v>1050</v>
      </c>
    </row>
    <row r="82" spans="1:5" x14ac:dyDescent="0.25">
      <c r="A82" s="1"/>
      <c r="B82" t="s">
        <v>820</v>
      </c>
      <c r="C82" t="s">
        <v>821</v>
      </c>
    </row>
    <row r="83" spans="1:5" x14ac:dyDescent="0.25">
      <c r="A83" s="1"/>
      <c r="B83" t="s">
        <v>720</v>
      </c>
      <c r="C83" t="s">
        <v>721</v>
      </c>
    </row>
    <row r="84" spans="1:5" x14ac:dyDescent="0.25">
      <c r="B84" t="s">
        <v>1136</v>
      </c>
      <c r="C84" t="s">
        <v>65</v>
      </c>
    </row>
    <row r="85" spans="1:5" x14ac:dyDescent="0.25">
      <c r="B85" t="s">
        <v>1141</v>
      </c>
    </row>
    <row r="86" spans="1:5" x14ac:dyDescent="0.25">
      <c r="B86" t="s">
        <v>1144</v>
      </c>
      <c r="C86" t="s">
        <v>37</v>
      </c>
    </row>
    <row r="87" spans="1:5" x14ac:dyDescent="0.25">
      <c r="B87" t="s">
        <v>1145</v>
      </c>
      <c r="C87" t="s">
        <v>37</v>
      </c>
    </row>
    <row r="88" spans="1:5" x14ac:dyDescent="0.25">
      <c r="B88" t="s">
        <v>1146</v>
      </c>
      <c r="C88" t="s">
        <v>14</v>
      </c>
    </row>
    <row r="89" spans="1:5" x14ac:dyDescent="0.25">
      <c r="B89" t="s">
        <v>1159</v>
      </c>
      <c r="C89" t="s">
        <v>37</v>
      </c>
    </row>
    <row r="90" spans="1:5" x14ac:dyDescent="0.25">
      <c r="B90" t="s">
        <v>1255</v>
      </c>
      <c r="C90" t="s">
        <v>99</v>
      </c>
    </row>
    <row r="91" spans="1:5" x14ac:dyDescent="0.25">
      <c r="C91" t="s">
        <v>99</v>
      </c>
    </row>
    <row r="92" spans="1:5" x14ac:dyDescent="0.25">
      <c r="B92" t="s">
        <v>1258</v>
      </c>
      <c r="C92" t="s">
        <v>1259</v>
      </c>
      <c r="E92">
        <v>1970</v>
      </c>
    </row>
    <row r="93" spans="1:5" x14ac:dyDescent="0.25">
      <c r="B93" t="s">
        <v>1260</v>
      </c>
    </row>
    <row r="94" spans="1:5" x14ac:dyDescent="0.25">
      <c r="B94" t="s">
        <v>1261</v>
      </c>
    </row>
    <row r="95" spans="1:5" x14ac:dyDescent="0.25">
      <c r="B95" t="s">
        <v>1262</v>
      </c>
    </row>
    <row r="96" spans="1:5" x14ac:dyDescent="0.25">
      <c r="B96" t="s">
        <v>1263</v>
      </c>
    </row>
    <row r="97" spans="2:5" x14ac:dyDescent="0.25">
      <c r="B97" t="s">
        <v>1266</v>
      </c>
      <c r="C97" t="s">
        <v>259</v>
      </c>
    </row>
    <row r="98" spans="2:5" x14ac:dyDescent="0.25">
      <c r="B98" t="s">
        <v>1269</v>
      </c>
      <c r="C98" t="s">
        <v>27</v>
      </c>
    </row>
    <row r="99" spans="2:5" x14ac:dyDescent="0.25">
      <c r="B99" t="s">
        <v>1270</v>
      </c>
      <c r="C99" t="s">
        <v>1271</v>
      </c>
    </row>
    <row r="100" spans="2:5" x14ac:dyDescent="0.25">
      <c r="B100" t="s">
        <v>1290</v>
      </c>
      <c r="C100" t="s">
        <v>267</v>
      </c>
    </row>
    <row r="101" spans="2:5" x14ac:dyDescent="0.25">
      <c r="B101" t="s">
        <v>1403</v>
      </c>
      <c r="C101" t="s">
        <v>1402</v>
      </c>
      <c r="D101">
        <v>7000</v>
      </c>
      <c r="E101">
        <v>2001</v>
      </c>
    </row>
    <row r="102" spans="2:5" x14ac:dyDescent="0.25">
      <c r="B102" t="s">
        <v>1351</v>
      </c>
      <c r="C102" t="s">
        <v>1197</v>
      </c>
      <c r="D102">
        <v>2900</v>
      </c>
    </row>
    <row r="103" spans="2:5" x14ac:dyDescent="0.25">
      <c r="B103" t="s">
        <v>743</v>
      </c>
      <c r="C103" t="s">
        <v>268</v>
      </c>
      <c r="D103">
        <v>2500</v>
      </c>
    </row>
    <row r="104" spans="2:5" x14ac:dyDescent="0.25">
      <c r="B104" t="s">
        <v>1361</v>
      </c>
      <c r="C104" t="s">
        <v>32</v>
      </c>
      <c r="D104">
        <v>1600</v>
      </c>
      <c r="E104">
        <v>2021</v>
      </c>
    </row>
    <row r="105" spans="2:5" x14ac:dyDescent="0.25">
      <c r="B105" t="s">
        <v>1656</v>
      </c>
      <c r="C105" t="s">
        <v>35</v>
      </c>
      <c r="D105">
        <v>1300</v>
      </c>
      <c r="E105">
        <v>2006</v>
      </c>
    </row>
    <row r="106" spans="2:5" x14ac:dyDescent="0.25">
      <c r="B106" t="s">
        <v>1359</v>
      </c>
      <c r="C106" t="s">
        <v>32</v>
      </c>
      <c r="D106">
        <v>993</v>
      </c>
      <c r="E106">
        <v>2021</v>
      </c>
    </row>
    <row r="107" spans="2:5" x14ac:dyDescent="0.25">
      <c r="B107" t="s">
        <v>1350</v>
      </c>
      <c r="C107" t="s">
        <v>30</v>
      </c>
    </row>
    <row r="108" spans="2:5" x14ac:dyDescent="0.25">
      <c r="B108" t="s">
        <v>1358</v>
      </c>
      <c r="C108" t="s">
        <v>32</v>
      </c>
    </row>
    <row r="109" spans="2:5" x14ac:dyDescent="0.25">
      <c r="B109" t="s">
        <v>1360</v>
      </c>
      <c r="C109" t="s">
        <v>32</v>
      </c>
    </row>
    <row r="110" spans="2:5" x14ac:dyDescent="0.25">
      <c r="B110" t="s">
        <v>1431</v>
      </c>
      <c r="C110" t="s">
        <v>1432</v>
      </c>
    </row>
    <row r="111" spans="2:5" x14ac:dyDescent="0.25">
      <c r="B111" t="s">
        <v>1433</v>
      </c>
      <c r="C111" t="s">
        <v>13</v>
      </c>
    </row>
    <row r="112" spans="2:5" x14ac:dyDescent="0.25">
      <c r="B112" t="s">
        <v>799</v>
      </c>
      <c r="C112" t="s">
        <v>27</v>
      </c>
    </row>
    <row r="113" spans="1:42" x14ac:dyDescent="0.25">
      <c r="B113" t="s">
        <v>669</v>
      </c>
      <c r="C113" t="s">
        <v>1247</v>
      </c>
      <c r="E113" s="12">
        <v>45520</v>
      </c>
    </row>
    <row r="114" spans="1:42" x14ac:dyDescent="0.25">
      <c r="B114" t="s">
        <v>1646</v>
      </c>
      <c r="C114" t="s">
        <v>1647</v>
      </c>
    </row>
    <row r="115" spans="1:42" x14ac:dyDescent="0.25">
      <c r="B115" t="s">
        <v>1657</v>
      </c>
      <c r="C115" t="s">
        <v>37</v>
      </c>
    </row>
    <row r="116" spans="1:42" x14ac:dyDescent="0.25">
      <c r="B116" t="s">
        <v>1674</v>
      </c>
      <c r="C116" t="s">
        <v>17</v>
      </c>
    </row>
    <row r="117" spans="1:42" x14ac:dyDescent="0.25">
      <c r="B117" t="s">
        <v>1675</v>
      </c>
      <c r="C117" t="s">
        <v>17</v>
      </c>
    </row>
    <row r="118" spans="1:42" x14ac:dyDescent="0.25">
      <c r="B118" t="s">
        <v>1679</v>
      </c>
      <c r="C118" t="s">
        <v>13</v>
      </c>
    </row>
    <row r="119" spans="1:42" x14ac:dyDescent="0.25">
      <c r="B119" t="s">
        <v>1782</v>
      </c>
      <c r="C119" t="s">
        <v>26</v>
      </c>
    </row>
    <row r="120" spans="1:42" s="33" customFormat="1" ht="13" x14ac:dyDescent="0.3">
      <c r="B120" s="57" t="s">
        <v>125</v>
      </c>
      <c r="C120" s="33" t="s">
        <v>126</v>
      </c>
      <c r="D120" s="34">
        <v>131</v>
      </c>
      <c r="E120" s="35">
        <f>+D120*I120</f>
        <v>13842.367175000001</v>
      </c>
      <c r="F120" s="35">
        <f>+[222]Main!$L$5-[222]Main!$L$6</f>
        <v>1024.6570000000002</v>
      </c>
      <c r="G120" s="35">
        <f>+E120-F120</f>
        <v>12817.710175</v>
      </c>
      <c r="H120" s="58" t="s">
        <v>1066</v>
      </c>
      <c r="I120" s="35">
        <f>+[222]Main!$L$3</f>
        <v>105.66692500000001</v>
      </c>
      <c r="J120" s="59">
        <v>45545</v>
      </c>
      <c r="N120" s="58"/>
      <c r="O120" s="58"/>
      <c r="P120" s="58"/>
      <c r="Q120" s="58"/>
      <c r="R120" s="58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</row>
    <row r="121" spans="1:42" s="93" customFormat="1" x14ac:dyDescent="0.25">
      <c r="B121" s="94" t="s">
        <v>946</v>
      </c>
      <c r="C121" s="93" t="s">
        <v>947</v>
      </c>
      <c r="D121" s="95">
        <v>33.89</v>
      </c>
      <c r="E121" s="96">
        <f>+D121*I121</f>
        <v>1318.30476669</v>
      </c>
      <c r="F121" s="96">
        <f>+[223]Main!$K$5-[223]Main!$K$6</f>
        <v>304.87299999999999</v>
      </c>
      <c r="G121" s="96">
        <f>+E121-F121</f>
        <v>1013.4317666899999</v>
      </c>
      <c r="H121" s="95" t="s">
        <v>1066</v>
      </c>
      <c r="I121" s="96">
        <f>+[223]Main!$K$3</f>
        <v>38.899521</v>
      </c>
      <c r="J121" s="97">
        <v>45558</v>
      </c>
      <c r="K121" s="95"/>
      <c r="L121" s="95"/>
      <c r="M121" s="95"/>
      <c r="N121" s="95"/>
      <c r="O121" s="95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</row>
    <row r="122" spans="1:42" x14ac:dyDescent="0.25">
      <c r="B122" t="s">
        <v>1971</v>
      </c>
      <c r="C122" t="s">
        <v>99</v>
      </c>
    </row>
    <row r="123" spans="1:42" s="33" customFormat="1" ht="13" x14ac:dyDescent="0.3">
      <c r="A123" s="105" t="s">
        <v>330</v>
      </c>
      <c r="D123" s="33">
        <f>+Main!D157+1</f>
        <v>146</v>
      </c>
      <c r="E123" s="57" t="s">
        <v>148</v>
      </c>
      <c r="F123" s="33" t="s">
        <v>149</v>
      </c>
      <c r="G123" s="58">
        <v>86.95</v>
      </c>
      <c r="H123" s="35">
        <f>+G123*L123</f>
        <v>5465.1553000000004</v>
      </c>
      <c r="I123" s="35">
        <f>+[224]Main!$K$5-[224]Main!$K$6</f>
        <v>481.55700000000002</v>
      </c>
      <c r="J123" s="35">
        <f>+H123-I123</f>
        <v>4983.5983000000006</v>
      </c>
      <c r="K123" s="58" t="s">
        <v>1066</v>
      </c>
      <c r="L123" s="35">
        <f>+[224]Main!$K$3</f>
        <v>62.853999999999999</v>
      </c>
      <c r="M123" s="59">
        <v>45549</v>
      </c>
      <c r="N123" s="58"/>
      <c r="O123" s="58"/>
      <c r="P123" s="58"/>
      <c r="Q123" s="58"/>
      <c r="R123" s="58"/>
      <c r="S123" s="60"/>
      <c r="T123" s="60"/>
      <c r="U123" s="60"/>
      <c r="V123" s="60"/>
      <c r="W123" s="60"/>
      <c r="X123" s="60"/>
      <c r="Y123" s="106"/>
      <c r="Z123" s="106"/>
      <c r="AA123" s="106"/>
      <c r="AB123" s="106"/>
      <c r="AC123" s="106"/>
      <c r="AD123" s="106"/>
    </row>
    <row r="124" spans="1:42" s="33" customFormat="1" ht="13" x14ac:dyDescent="0.3">
      <c r="A124" s="105" t="s">
        <v>330</v>
      </c>
      <c r="D124" s="33">
        <f>+Main!D39+1</f>
        <v>30</v>
      </c>
      <c r="E124" s="57" t="s">
        <v>371</v>
      </c>
      <c r="F124" s="33" t="s">
        <v>372</v>
      </c>
      <c r="G124" s="34">
        <v>49</v>
      </c>
      <c r="H124" s="35">
        <f>+G124*L124</f>
        <v>3632.5077390000001</v>
      </c>
      <c r="I124" s="35">
        <f>+[225]Main!$K$5-[225]Main!$K$6</f>
        <v>461.9</v>
      </c>
      <c r="J124" s="35">
        <f>+H124-I124</f>
        <v>3170.607739</v>
      </c>
      <c r="K124" s="58" t="s">
        <v>1273</v>
      </c>
      <c r="L124" s="35">
        <f>+[225]Main!$K$3</f>
        <v>74.132811000000004</v>
      </c>
      <c r="M124" s="59">
        <v>45733</v>
      </c>
      <c r="N124" s="58"/>
      <c r="O124" s="58"/>
      <c r="P124" s="58"/>
      <c r="Q124" s="58"/>
      <c r="R124" s="58"/>
      <c r="S124" s="60"/>
      <c r="T124" s="60"/>
      <c r="U124" s="60"/>
      <c r="V124" s="60"/>
      <c r="W124" s="60"/>
      <c r="X124" s="60"/>
      <c r="Y124" s="106"/>
      <c r="Z124" s="106"/>
      <c r="AA124" s="106"/>
      <c r="AB124" s="106"/>
      <c r="AC124" s="106"/>
      <c r="AD124" s="106"/>
    </row>
    <row r="125" spans="1:42" s="33" customFormat="1" ht="13" x14ac:dyDescent="0.3">
      <c r="A125" s="105" t="s">
        <v>330</v>
      </c>
      <c r="E125" s="57" t="s">
        <v>688</v>
      </c>
      <c r="F125" s="33" t="s">
        <v>689</v>
      </c>
      <c r="G125" s="34">
        <v>48.93</v>
      </c>
      <c r="H125" s="35">
        <f>+G125*L125</f>
        <v>3863.4447383699999</v>
      </c>
      <c r="I125" s="35">
        <f>+[226]Main!$L$5-[226]Main!$L$6</f>
        <v>1071.1729999999998</v>
      </c>
      <c r="J125" s="35">
        <f>+H125-I125</f>
        <v>2792.2717383700001</v>
      </c>
      <c r="K125" s="58" t="s">
        <v>1272</v>
      </c>
      <c r="L125" s="35">
        <f>+[226]Main!$L$3</f>
        <v>78.958608999999996</v>
      </c>
      <c r="M125" s="59">
        <v>45684</v>
      </c>
      <c r="N125" s="58"/>
      <c r="O125" s="58"/>
      <c r="P125" s="58"/>
      <c r="Q125" s="58"/>
      <c r="R125" s="58"/>
      <c r="S125" s="60"/>
      <c r="T125" s="60"/>
      <c r="U125" s="60"/>
      <c r="V125" s="60"/>
      <c r="W125" s="117"/>
      <c r="X125" s="60"/>
      <c r="Y125" s="60"/>
      <c r="Z125" s="60"/>
      <c r="AA125" s="60"/>
      <c r="AB125" s="106"/>
      <c r="AC125" s="106"/>
      <c r="AD125" s="106"/>
      <c r="AE125" s="106"/>
      <c r="AF125" s="106"/>
      <c r="AG125" s="106"/>
      <c r="AH125" s="106"/>
      <c r="AI125" s="106"/>
      <c r="AJ125" s="106"/>
      <c r="AN125" s="58"/>
      <c r="AO125" s="58"/>
      <c r="AP125" s="58"/>
    </row>
    <row r="126" spans="1:42" s="33" customFormat="1" ht="13" x14ac:dyDescent="0.3">
      <c r="A126" s="105" t="s">
        <v>330</v>
      </c>
      <c r="D126" s="33">
        <f>+Main!D108+1</f>
        <v>97</v>
      </c>
      <c r="E126" s="57" t="s">
        <v>129</v>
      </c>
      <c r="F126" s="33" t="s">
        <v>130</v>
      </c>
      <c r="G126" s="34">
        <v>24.43</v>
      </c>
      <c r="H126" s="35">
        <f>G126*L126</f>
        <v>2974.75139304</v>
      </c>
      <c r="I126" s="35">
        <f>+[227]Main!$L$5-[227]Main!$L$6</f>
        <v>-96.746999999999957</v>
      </c>
      <c r="J126" s="35">
        <f>+H126-I126</f>
        <v>3071.4983930399999</v>
      </c>
      <c r="K126" s="58" t="s">
        <v>1066</v>
      </c>
      <c r="L126" s="35">
        <f>[227]Main!$L$3</f>
        <v>121.766328</v>
      </c>
      <c r="M126" s="59">
        <v>45540</v>
      </c>
      <c r="N126" s="58"/>
      <c r="O126" s="58"/>
      <c r="P126" s="58"/>
      <c r="Q126" s="58"/>
      <c r="R126" s="58"/>
      <c r="S126" s="60"/>
      <c r="T126" s="60"/>
      <c r="U126" s="60"/>
      <c r="V126" s="60"/>
      <c r="W126" s="117"/>
      <c r="X126" s="60"/>
      <c r="Y126" s="60"/>
      <c r="Z126" s="60"/>
      <c r="AA126" s="60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33">
        <v>2009</v>
      </c>
      <c r="AL126" s="33" t="s">
        <v>990</v>
      </c>
      <c r="AN126" s="58"/>
      <c r="AO126" s="58"/>
      <c r="AP126" s="58"/>
    </row>
    <row r="127" spans="1:42" s="1" customFormat="1" x14ac:dyDescent="0.25">
      <c r="A127" s="87" t="s">
        <v>330</v>
      </c>
      <c r="D127">
        <f>+Acquisitions!D126+1</f>
        <v>98</v>
      </c>
      <c r="E127" s="38" t="s">
        <v>1157</v>
      </c>
      <c r="F127" t="s">
        <v>1158</v>
      </c>
      <c r="G127" s="7">
        <v>83.6</v>
      </c>
      <c r="H127" s="6">
        <f>+G127*L127</f>
        <v>3820.8385995999997</v>
      </c>
      <c r="I127" s="6">
        <f>+[228]Main!$J$5-[228]Main!$J$6</f>
        <v>268.82000000000005</v>
      </c>
      <c r="J127" s="6">
        <f>+H127-I127</f>
        <v>3552.0185995999996</v>
      </c>
      <c r="K127" s="3" t="s">
        <v>1273</v>
      </c>
      <c r="L127" s="6">
        <f>+[228]Main!$J$3</f>
        <v>45.703811000000002</v>
      </c>
      <c r="M127" s="9">
        <v>45546</v>
      </c>
      <c r="N127" s="3"/>
      <c r="O127" s="3"/>
      <c r="P127" s="3"/>
      <c r="Q127" s="3"/>
      <c r="R127" s="3"/>
      <c r="S127" s="4"/>
      <c r="T127" s="4"/>
      <c r="U127" s="4"/>
      <c r="V127" s="4"/>
      <c r="W127" s="112"/>
      <c r="X127" s="4"/>
      <c r="Y127" s="4"/>
      <c r="Z127" s="4"/>
      <c r="AA127" s="4"/>
      <c r="AB127" s="61"/>
      <c r="AC127" s="61"/>
      <c r="AD127" s="61"/>
      <c r="AE127" s="61"/>
      <c r="AF127" s="61"/>
      <c r="AG127" s="61"/>
      <c r="AH127" s="61"/>
      <c r="AI127" s="61"/>
      <c r="AJ127" s="61"/>
      <c r="AK127" s="1">
        <v>1999</v>
      </c>
      <c r="AN127" s="3"/>
      <c r="AO127" s="3"/>
      <c r="AP127" s="3"/>
    </row>
    <row r="128" spans="1:42" s="33" customFormat="1" ht="13" x14ac:dyDescent="0.3">
      <c r="A128" s="105" t="s">
        <v>330</v>
      </c>
      <c r="D128" s="33">
        <f>+Main!D229+1</f>
        <v>218</v>
      </c>
      <c r="E128" s="57" t="s">
        <v>177</v>
      </c>
      <c r="F128" s="33" t="s">
        <v>178</v>
      </c>
      <c r="G128" s="34">
        <v>7.28</v>
      </c>
      <c r="H128" s="35">
        <f>G128*L128</f>
        <v>434.74418623999998</v>
      </c>
      <c r="I128" s="35">
        <f>[229]Main!$K$5-[229]Main!$K$6</f>
        <v>1272.4940000000001</v>
      </c>
      <c r="J128" s="35">
        <f>H128-I128</f>
        <v>-837.74981376000017</v>
      </c>
      <c r="K128" s="58" t="s">
        <v>513</v>
      </c>
      <c r="L128" s="35">
        <f>[229]Main!$K$3</f>
        <v>59.717607999999998</v>
      </c>
      <c r="M128" s="59">
        <v>44999</v>
      </c>
      <c r="N128" s="58"/>
      <c r="O128" s="58"/>
      <c r="P128" s="58"/>
      <c r="Q128" s="58"/>
      <c r="R128" s="58"/>
      <c r="S128" s="60"/>
      <c r="T128" s="60"/>
      <c r="U128" s="60"/>
      <c r="V128" s="60"/>
      <c r="W128" s="117"/>
      <c r="X128" s="60"/>
      <c r="Y128" s="60"/>
      <c r="Z128" s="60"/>
      <c r="AA128" s="60"/>
      <c r="AB128" s="106"/>
      <c r="AC128" s="106"/>
      <c r="AD128" s="106"/>
      <c r="AE128" s="106"/>
      <c r="AF128" s="106"/>
      <c r="AG128" s="106"/>
      <c r="AH128" s="106"/>
      <c r="AI128" s="106"/>
      <c r="AJ128" s="106"/>
      <c r="AN128" s="58"/>
      <c r="AO128" s="58"/>
      <c r="AP128" s="58"/>
    </row>
    <row r="129" spans="4:43" s="33" customFormat="1" ht="13" x14ac:dyDescent="0.3">
      <c r="D129" s="33">
        <f>+Main!D121+1</f>
        <v>110</v>
      </c>
      <c r="E129" s="33" t="s">
        <v>753</v>
      </c>
      <c r="F129" s="33" t="s">
        <v>754</v>
      </c>
      <c r="G129" s="34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60"/>
      <c r="T129" s="60"/>
      <c r="U129" s="60"/>
      <c r="V129" s="60"/>
      <c r="W129" s="117"/>
      <c r="X129" s="60"/>
      <c r="Y129" s="60"/>
      <c r="Z129" s="60"/>
      <c r="AA129" s="60"/>
      <c r="AB129" s="127"/>
      <c r="AC129" s="106"/>
      <c r="AD129" s="106"/>
      <c r="AE129" s="106"/>
      <c r="AF129" s="106"/>
      <c r="AG129" s="106"/>
      <c r="AH129" s="106"/>
      <c r="AI129" s="106"/>
      <c r="AJ129" s="106"/>
      <c r="AK129" s="106"/>
      <c r="AO129" s="58"/>
      <c r="AP129" s="58"/>
      <c r="AQ129" s="58"/>
    </row>
  </sheetData>
  <hyperlinks>
    <hyperlink ref="A1" location="Main!A1" display="Main" xr:uid="{D25979DB-5EBB-4C30-9F58-BD318CF0CEE3}"/>
    <hyperlink ref="B14" r:id="rId1" xr:uid="{547F117B-55D8-401A-AD75-411778B2F717}"/>
    <hyperlink ref="B20" r:id="rId2" xr:uid="{30732F31-0D9B-4774-8215-75872BFC9B96}"/>
    <hyperlink ref="B76" r:id="rId3" xr:uid="{C216ACFE-A1E7-4490-95CC-33302FDEACB6}"/>
    <hyperlink ref="B29" r:id="rId4" xr:uid="{5448F263-AB4A-41FB-B7B9-A94746C9D9E1}"/>
    <hyperlink ref="B120" r:id="rId5" xr:uid="{57A317C3-FCD5-4B9D-9890-302872D6263D}"/>
    <hyperlink ref="B121" r:id="rId6" xr:uid="{C2EF7A04-6E03-432E-AE39-F9FC0944E6B7}"/>
    <hyperlink ref="E123" r:id="rId7" xr:uid="{5DA9C2AA-A278-4FF3-A2FD-E53617E5E8B8}"/>
    <hyperlink ref="E124" r:id="rId8" xr:uid="{51C9506E-5D60-43F8-BADA-7F72A25DAFF6}"/>
    <hyperlink ref="E125" r:id="rId9" xr:uid="{19D04C6A-EB12-4779-9BF1-8615419B9493}"/>
    <hyperlink ref="E126" r:id="rId10" xr:uid="{F7B6503D-1F84-47C4-B87E-BDA7159D1B9F}"/>
    <hyperlink ref="E127" r:id="rId11" xr:uid="{7DEB18EF-0653-42AE-848B-1CD34B6185B1}"/>
    <hyperlink ref="E128" r:id="rId12" xr:uid="{44DEB74A-F098-4876-A279-D1E6237DF8DB}"/>
  </hyperlinks>
  <pageMargins left="0.7" right="0.7" top="0.75" bottom="0.75" header="0.3" footer="0.3"/>
  <legacyDrawing r:id="rId1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41BE-7DF5-4675-8FFC-5A92EEFC7409}">
  <dimension ref="B2:GA66"/>
  <sheetViews>
    <sheetView zoomScale="115" zoomScaleNormal="115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D27" sqref="D27"/>
    </sheetView>
  </sheetViews>
  <sheetFormatPr defaultRowHeight="12.5" x14ac:dyDescent="0.25"/>
  <cols>
    <col min="2" max="2" width="28" customWidth="1"/>
    <col min="3" max="38" width="5.81640625" customWidth="1"/>
    <col min="39" max="40" width="5" bestFit="1" customWidth="1"/>
    <col min="41" max="41" width="10.1796875" customWidth="1"/>
    <col min="84" max="84" width="22.7265625" customWidth="1"/>
    <col min="85" max="85" width="25.26953125" customWidth="1"/>
    <col min="98" max="98" width="25" customWidth="1"/>
    <col min="110" max="110" width="16" bestFit="1" customWidth="1"/>
    <col min="125" max="125" width="16" bestFit="1" customWidth="1"/>
    <col min="129" max="129" width="24.453125" bestFit="1" customWidth="1"/>
    <col min="134" max="134" width="20.453125" customWidth="1"/>
    <col min="139" max="140" width="20.453125" customWidth="1"/>
    <col min="141" max="143" width="16.54296875" customWidth="1"/>
    <col min="144" max="144" width="24.453125" bestFit="1" customWidth="1"/>
    <col min="145" max="148" width="15.81640625" customWidth="1"/>
    <col min="149" max="149" width="25.26953125" customWidth="1"/>
    <col min="150" max="151" width="19.81640625" customWidth="1"/>
    <col min="152" max="152" width="18.453125" customWidth="1"/>
    <col min="153" max="153" width="21" customWidth="1"/>
    <col min="154" max="154" width="19" customWidth="1"/>
    <col min="155" max="156" width="17.453125" customWidth="1"/>
    <col min="157" max="157" width="9.54296875" customWidth="1"/>
    <col min="158" max="158" width="18.26953125" customWidth="1"/>
    <col min="159" max="159" width="14.7265625" customWidth="1"/>
    <col min="160" max="160" width="16.453125" customWidth="1"/>
    <col min="161" max="161" width="16.1796875" customWidth="1"/>
    <col min="162" max="162" width="14.1796875" customWidth="1"/>
    <col min="163" max="163" width="11.453125" customWidth="1"/>
    <col min="164" max="164" width="28.54296875" bestFit="1" customWidth="1"/>
    <col min="165" max="165" width="26.54296875" customWidth="1"/>
    <col min="166" max="166" width="27.7265625" customWidth="1"/>
    <col min="167" max="167" width="29.26953125" customWidth="1"/>
    <col min="168" max="168" width="28.7265625" bestFit="1" customWidth="1"/>
    <col min="169" max="169" width="25.7265625" customWidth="1"/>
    <col min="170" max="179" width="28.7265625" bestFit="1" customWidth="1"/>
  </cols>
  <sheetData>
    <row r="2" spans="2:183" x14ac:dyDescent="0.25">
      <c r="C2">
        <v>1849</v>
      </c>
      <c r="D2">
        <v>1850</v>
      </c>
      <c r="E2">
        <v>1851</v>
      </c>
      <c r="F2">
        <v>1852</v>
      </c>
      <c r="G2">
        <v>1853</v>
      </c>
      <c r="H2">
        <v>1854</v>
      </c>
      <c r="I2">
        <v>1855</v>
      </c>
      <c r="J2">
        <v>1856</v>
      </c>
      <c r="K2">
        <v>1857</v>
      </c>
      <c r="L2">
        <v>1858</v>
      </c>
      <c r="M2">
        <v>1859</v>
      </c>
      <c r="N2">
        <v>1860</v>
      </c>
      <c r="O2">
        <v>1861</v>
      </c>
      <c r="P2">
        <v>1862</v>
      </c>
      <c r="Q2">
        <v>1863</v>
      </c>
      <c r="R2">
        <v>1864</v>
      </c>
      <c r="S2">
        <v>1865</v>
      </c>
      <c r="T2">
        <v>1866</v>
      </c>
      <c r="U2">
        <v>1867</v>
      </c>
      <c r="V2">
        <v>1868</v>
      </c>
      <c r="W2">
        <v>1869</v>
      </c>
      <c r="X2">
        <v>1870</v>
      </c>
      <c r="Y2">
        <v>1871</v>
      </c>
      <c r="Z2">
        <v>1872</v>
      </c>
      <c r="AA2">
        <v>1873</v>
      </c>
      <c r="AB2">
        <v>1874</v>
      </c>
      <c r="AC2">
        <v>1875</v>
      </c>
      <c r="AD2">
        <v>1876</v>
      </c>
      <c r="AE2">
        <v>1877</v>
      </c>
      <c r="AF2">
        <v>1878</v>
      </c>
      <c r="AG2">
        <v>1879</v>
      </c>
      <c r="AH2">
        <v>1880</v>
      </c>
      <c r="AI2">
        <v>1881</v>
      </c>
      <c r="AJ2">
        <v>1882</v>
      </c>
      <c r="AK2">
        <v>1883</v>
      </c>
      <c r="AL2">
        <v>1884</v>
      </c>
      <c r="AM2">
        <v>1885</v>
      </c>
      <c r="AN2">
        <v>1886</v>
      </c>
      <c r="AO2">
        <v>1887</v>
      </c>
      <c r="AP2">
        <v>1888</v>
      </c>
      <c r="AQ2">
        <f>+AP2+1</f>
        <v>1889</v>
      </c>
      <c r="AR2">
        <f t="shared" ref="AR2:DC2" si="0">+AQ2+1</f>
        <v>1890</v>
      </c>
      <c r="AS2">
        <f t="shared" si="0"/>
        <v>1891</v>
      </c>
      <c r="AT2">
        <f t="shared" si="0"/>
        <v>1892</v>
      </c>
      <c r="AU2">
        <f t="shared" si="0"/>
        <v>1893</v>
      </c>
      <c r="AV2">
        <f t="shared" si="0"/>
        <v>1894</v>
      </c>
      <c r="AW2">
        <f t="shared" si="0"/>
        <v>1895</v>
      </c>
      <c r="AX2">
        <f t="shared" si="0"/>
        <v>1896</v>
      </c>
      <c r="AY2">
        <f t="shared" si="0"/>
        <v>1897</v>
      </c>
      <c r="AZ2">
        <f t="shared" si="0"/>
        <v>1898</v>
      </c>
      <c r="BA2">
        <f t="shared" si="0"/>
        <v>1899</v>
      </c>
      <c r="BB2">
        <f t="shared" si="0"/>
        <v>1900</v>
      </c>
      <c r="BC2">
        <f t="shared" si="0"/>
        <v>1901</v>
      </c>
      <c r="BD2">
        <f t="shared" si="0"/>
        <v>1902</v>
      </c>
      <c r="BE2">
        <f t="shared" si="0"/>
        <v>1903</v>
      </c>
      <c r="BF2">
        <f t="shared" si="0"/>
        <v>1904</v>
      </c>
      <c r="BG2">
        <f t="shared" si="0"/>
        <v>1905</v>
      </c>
      <c r="BH2">
        <f t="shared" si="0"/>
        <v>1906</v>
      </c>
      <c r="BI2">
        <f t="shared" si="0"/>
        <v>1907</v>
      </c>
      <c r="BJ2">
        <f t="shared" si="0"/>
        <v>1908</v>
      </c>
      <c r="BK2">
        <f t="shared" si="0"/>
        <v>1909</v>
      </c>
      <c r="BL2">
        <f t="shared" si="0"/>
        <v>1910</v>
      </c>
      <c r="BM2">
        <f t="shared" si="0"/>
        <v>1911</v>
      </c>
      <c r="BN2">
        <f t="shared" si="0"/>
        <v>1912</v>
      </c>
      <c r="BO2">
        <f t="shared" si="0"/>
        <v>1913</v>
      </c>
      <c r="BP2">
        <f t="shared" si="0"/>
        <v>1914</v>
      </c>
      <c r="BQ2">
        <f t="shared" si="0"/>
        <v>1915</v>
      </c>
      <c r="BR2">
        <f t="shared" si="0"/>
        <v>1916</v>
      </c>
      <c r="BS2">
        <f t="shared" si="0"/>
        <v>1917</v>
      </c>
      <c r="BT2">
        <f t="shared" si="0"/>
        <v>1918</v>
      </c>
      <c r="BU2">
        <f t="shared" si="0"/>
        <v>1919</v>
      </c>
      <c r="BV2">
        <f t="shared" si="0"/>
        <v>1920</v>
      </c>
      <c r="BW2">
        <f t="shared" si="0"/>
        <v>1921</v>
      </c>
      <c r="BX2">
        <f t="shared" si="0"/>
        <v>1922</v>
      </c>
      <c r="BY2">
        <f t="shared" si="0"/>
        <v>1923</v>
      </c>
      <c r="BZ2">
        <f t="shared" si="0"/>
        <v>1924</v>
      </c>
      <c r="CA2">
        <f t="shared" si="0"/>
        <v>1925</v>
      </c>
      <c r="CB2">
        <f t="shared" si="0"/>
        <v>1926</v>
      </c>
      <c r="CC2">
        <f t="shared" si="0"/>
        <v>1927</v>
      </c>
      <c r="CD2">
        <f t="shared" si="0"/>
        <v>1928</v>
      </c>
      <c r="CE2">
        <f t="shared" si="0"/>
        <v>1929</v>
      </c>
      <c r="CF2">
        <f t="shared" si="0"/>
        <v>1930</v>
      </c>
      <c r="CG2">
        <f t="shared" si="0"/>
        <v>1931</v>
      </c>
      <c r="CH2">
        <f t="shared" si="0"/>
        <v>1932</v>
      </c>
      <c r="CI2">
        <f t="shared" si="0"/>
        <v>1933</v>
      </c>
      <c r="CJ2">
        <f t="shared" si="0"/>
        <v>1934</v>
      </c>
      <c r="CK2">
        <f t="shared" si="0"/>
        <v>1935</v>
      </c>
      <c r="CL2">
        <f t="shared" si="0"/>
        <v>1936</v>
      </c>
      <c r="CM2">
        <f t="shared" si="0"/>
        <v>1937</v>
      </c>
      <c r="CN2">
        <f t="shared" si="0"/>
        <v>1938</v>
      </c>
      <c r="CO2">
        <f t="shared" si="0"/>
        <v>1939</v>
      </c>
      <c r="CP2">
        <f t="shared" si="0"/>
        <v>1940</v>
      </c>
      <c r="CQ2">
        <f t="shared" si="0"/>
        <v>1941</v>
      </c>
      <c r="CR2">
        <f t="shared" si="0"/>
        <v>1942</v>
      </c>
      <c r="CS2">
        <f t="shared" si="0"/>
        <v>1943</v>
      </c>
      <c r="CT2">
        <f t="shared" si="0"/>
        <v>1944</v>
      </c>
      <c r="CU2">
        <f t="shared" si="0"/>
        <v>1945</v>
      </c>
      <c r="CV2">
        <f t="shared" si="0"/>
        <v>1946</v>
      </c>
      <c r="CW2">
        <f t="shared" si="0"/>
        <v>1947</v>
      </c>
      <c r="CX2">
        <f t="shared" si="0"/>
        <v>1948</v>
      </c>
      <c r="CY2">
        <f t="shared" si="0"/>
        <v>1949</v>
      </c>
      <c r="CZ2">
        <f t="shared" si="0"/>
        <v>1950</v>
      </c>
      <c r="DA2">
        <f t="shared" si="0"/>
        <v>1951</v>
      </c>
      <c r="DB2">
        <f t="shared" si="0"/>
        <v>1952</v>
      </c>
      <c r="DC2">
        <f t="shared" si="0"/>
        <v>1953</v>
      </c>
      <c r="DD2">
        <f t="shared" ref="DD2:FO2" si="1">+DC2+1</f>
        <v>1954</v>
      </c>
      <c r="DE2">
        <f t="shared" si="1"/>
        <v>1955</v>
      </c>
      <c r="DF2">
        <f t="shared" si="1"/>
        <v>1956</v>
      </c>
      <c r="DG2">
        <f t="shared" si="1"/>
        <v>1957</v>
      </c>
      <c r="DH2">
        <f t="shared" si="1"/>
        <v>1958</v>
      </c>
      <c r="DI2">
        <f t="shared" si="1"/>
        <v>1959</v>
      </c>
      <c r="DJ2">
        <f t="shared" si="1"/>
        <v>1960</v>
      </c>
      <c r="DK2">
        <f t="shared" si="1"/>
        <v>1961</v>
      </c>
      <c r="DL2">
        <f t="shared" si="1"/>
        <v>1962</v>
      </c>
      <c r="DM2">
        <f t="shared" si="1"/>
        <v>1963</v>
      </c>
      <c r="DN2">
        <f t="shared" si="1"/>
        <v>1964</v>
      </c>
      <c r="DO2">
        <f t="shared" si="1"/>
        <v>1965</v>
      </c>
      <c r="DP2">
        <f t="shared" si="1"/>
        <v>1966</v>
      </c>
      <c r="DQ2">
        <f t="shared" si="1"/>
        <v>1967</v>
      </c>
      <c r="DR2">
        <f t="shared" si="1"/>
        <v>1968</v>
      </c>
      <c r="DS2">
        <f t="shared" si="1"/>
        <v>1969</v>
      </c>
      <c r="DT2">
        <f t="shared" si="1"/>
        <v>1970</v>
      </c>
      <c r="DU2">
        <f t="shared" si="1"/>
        <v>1971</v>
      </c>
      <c r="DV2">
        <f t="shared" si="1"/>
        <v>1972</v>
      </c>
      <c r="DW2">
        <f t="shared" si="1"/>
        <v>1973</v>
      </c>
      <c r="DX2">
        <f t="shared" si="1"/>
        <v>1974</v>
      </c>
      <c r="DY2">
        <f t="shared" si="1"/>
        <v>1975</v>
      </c>
      <c r="DZ2">
        <f t="shared" si="1"/>
        <v>1976</v>
      </c>
      <c r="EA2">
        <f t="shared" si="1"/>
        <v>1977</v>
      </c>
      <c r="EB2">
        <f t="shared" si="1"/>
        <v>1978</v>
      </c>
      <c r="EC2">
        <f t="shared" si="1"/>
        <v>1979</v>
      </c>
      <c r="ED2">
        <f t="shared" si="1"/>
        <v>1980</v>
      </c>
      <c r="EE2">
        <f t="shared" si="1"/>
        <v>1981</v>
      </c>
      <c r="EF2">
        <f t="shared" si="1"/>
        <v>1982</v>
      </c>
      <c r="EG2">
        <f t="shared" si="1"/>
        <v>1983</v>
      </c>
      <c r="EH2">
        <f t="shared" si="1"/>
        <v>1984</v>
      </c>
      <c r="EI2">
        <f t="shared" si="1"/>
        <v>1985</v>
      </c>
      <c r="EJ2">
        <f t="shared" si="1"/>
        <v>1986</v>
      </c>
      <c r="EK2">
        <f t="shared" si="1"/>
        <v>1987</v>
      </c>
      <c r="EL2">
        <f t="shared" si="1"/>
        <v>1988</v>
      </c>
      <c r="EM2">
        <f t="shared" si="1"/>
        <v>1989</v>
      </c>
      <c r="EN2">
        <f t="shared" si="1"/>
        <v>1990</v>
      </c>
      <c r="EO2">
        <f t="shared" si="1"/>
        <v>1991</v>
      </c>
      <c r="EP2">
        <f t="shared" si="1"/>
        <v>1992</v>
      </c>
      <c r="EQ2">
        <f t="shared" si="1"/>
        <v>1993</v>
      </c>
      <c r="ER2">
        <f t="shared" si="1"/>
        <v>1994</v>
      </c>
      <c r="ES2">
        <f t="shared" si="1"/>
        <v>1995</v>
      </c>
      <c r="ET2">
        <f t="shared" si="1"/>
        <v>1996</v>
      </c>
      <c r="EU2">
        <f t="shared" si="1"/>
        <v>1997</v>
      </c>
      <c r="EV2">
        <f t="shared" si="1"/>
        <v>1998</v>
      </c>
      <c r="EW2">
        <f t="shared" si="1"/>
        <v>1999</v>
      </c>
      <c r="EX2">
        <f t="shared" si="1"/>
        <v>2000</v>
      </c>
      <c r="EY2">
        <f t="shared" si="1"/>
        <v>2001</v>
      </c>
      <c r="EZ2">
        <f t="shared" si="1"/>
        <v>2002</v>
      </c>
      <c r="FA2">
        <f t="shared" si="1"/>
        <v>2003</v>
      </c>
      <c r="FB2">
        <f t="shared" si="1"/>
        <v>2004</v>
      </c>
      <c r="FC2">
        <f t="shared" si="1"/>
        <v>2005</v>
      </c>
      <c r="FD2">
        <f t="shared" si="1"/>
        <v>2006</v>
      </c>
      <c r="FE2">
        <f t="shared" si="1"/>
        <v>2007</v>
      </c>
      <c r="FF2">
        <f t="shared" si="1"/>
        <v>2008</v>
      </c>
      <c r="FG2">
        <f t="shared" si="1"/>
        <v>2009</v>
      </c>
      <c r="FH2">
        <f t="shared" si="1"/>
        <v>2010</v>
      </c>
      <c r="FI2">
        <f t="shared" si="1"/>
        <v>2011</v>
      </c>
      <c r="FJ2">
        <f t="shared" si="1"/>
        <v>2012</v>
      </c>
      <c r="FK2">
        <f t="shared" si="1"/>
        <v>2013</v>
      </c>
      <c r="FL2">
        <f t="shared" si="1"/>
        <v>2014</v>
      </c>
      <c r="FM2">
        <f t="shared" si="1"/>
        <v>2015</v>
      </c>
      <c r="FN2">
        <f t="shared" si="1"/>
        <v>2016</v>
      </c>
      <c r="FO2">
        <f t="shared" si="1"/>
        <v>2017</v>
      </c>
      <c r="FP2">
        <f t="shared" ref="FP2:GA2" si="2">+FO2+1</f>
        <v>2018</v>
      </c>
      <c r="FQ2">
        <f t="shared" si="2"/>
        <v>2019</v>
      </c>
      <c r="FR2">
        <f t="shared" si="2"/>
        <v>2020</v>
      </c>
      <c r="FS2">
        <f t="shared" si="2"/>
        <v>2021</v>
      </c>
      <c r="FT2">
        <f t="shared" si="2"/>
        <v>2022</v>
      </c>
      <c r="FU2">
        <f t="shared" si="2"/>
        <v>2023</v>
      </c>
      <c r="FV2">
        <f t="shared" si="2"/>
        <v>2024</v>
      </c>
      <c r="FW2">
        <f t="shared" si="2"/>
        <v>2025</v>
      </c>
      <c r="FX2">
        <f t="shared" si="2"/>
        <v>2026</v>
      </c>
      <c r="FY2">
        <f t="shared" si="2"/>
        <v>2027</v>
      </c>
      <c r="FZ2">
        <f t="shared" si="2"/>
        <v>2028</v>
      </c>
      <c r="GA2">
        <f t="shared" si="2"/>
        <v>2029</v>
      </c>
    </row>
    <row r="3" spans="2:183" ht="13" x14ac:dyDescent="0.3">
      <c r="B3" t="s">
        <v>1689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71" t="s">
        <v>2</v>
      </c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</row>
    <row r="4" spans="2:183" x14ac:dyDescent="0.25">
      <c r="B4" t="s">
        <v>1251</v>
      </c>
    </row>
    <row r="5" spans="2:183" x14ac:dyDescent="0.25">
      <c r="B5" t="s">
        <v>820</v>
      </c>
    </row>
    <row r="6" spans="2:183" x14ac:dyDescent="0.25">
      <c r="B6" t="s">
        <v>342</v>
      </c>
    </row>
    <row r="7" spans="2:183" ht="12.75" customHeight="1" x14ac:dyDescent="0.3">
      <c r="B7" t="s">
        <v>1201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73" t="s">
        <v>1735</v>
      </c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  <c r="CM7" s="73"/>
      <c r="CN7" s="73"/>
      <c r="CO7" s="73"/>
      <c r="CP7" s="73"/>
      <c r="CQ7" s="73"/>
      <c r="CR7" s="73"/>
      <c r="CS7" s="73"/>
      <c r="CT7" s="73"/>
      <c r="CU7" s="73"/>
      <c r="CV7" s="73"/>
      <c r="CW7" s="73"/>
      <c r="CX7" s="73"/>
      <c r="CY7" s="73"/>
      <c r="CZ7" s="73"/>
      <c r="DA7" s="73"/>
      <c r="DB7" s="73"/>
      <c r="DC7" s="73"/>
      <c r="DD7" s="73"/>
      <c r="DE7" s="73"/>
      <c r="DF7" s="73"/>
      <c r="DG7" s="73"/>
      <c r="DH7" s="73"/>
      <c r="DI7" s="73"/>
      <c r="DJ7" s="73"/>
      <c r="DK7" s="73"/>
      <c r="DL7" s="73"/>
      <c r="DM7" s="73"/>
      <c r="DN7" s="73"/>
      <c r="DO7" s="73"/>
      <c r="DP7" s="73"/>
      <c r="DQ7" s="73"/>
      <c r="DR7" s="73"/>
      <c r="DS7" s="73"/>
      <c r="DT7" s="73"/>
      <c r="DU7" s="73"/>
      <c r="DV7" s="73"/>
      <c r="DW7" s="73"/>
      <c r="DX7" s="73"/>
      <c r="DY7" s="83" t="s">
        <v>1201</v>
      </c>
      <c r="DZ7" s="73"/>
      <c r="EA7" s="73"/>
      <c r="EB7" s="73"/>
      <c r="EC7" s="73"/>
      <c r="ED7" s="83" t="s">
        <v>1201</v>
      </c>
      <c r="EE7" s="73"/>
      <c r="EF7" s="73"/>
      <c r="EG7" s="73"/>
      <c r="EH7" s="73"/>
      <c r="EI7" s="83" t="s">
        <v>1201</v>
      </c>
      <c r="EJ7" s="83" t="s">
        <v>1201</v>
      </c>
      <c r="EK7" s="83" t="s">
        <v>1201</v>
      </c>
      <c r="EL7" s="83" t="s">
        <v>1201</v>
      </c>
      <c r="EM7" s="83" t="s">
        <v>1201</v>
      </c>
      <c r="EN7" s="83" t="s">
        <v>1201</v>
      </c>
      <c r="EO7" s="83" t="s">
        <v>1201</v>
      </c>
      <c r="EP7" s="83" t="s">
        <v>1201</v>
      </c>
      <c r="EQ7" s="83" t="s">
        <v>1201</v>
      </c>
      <c r="ER7" s="83" t="s">
        <v>1201</v>
      </c>
      <c r="ES7" s="73" t="s">
        <v>1731</v>
      </c>
      <c r="ET7" s="148" t="s">
        <v>1733</v>
      </c>
      <c r="EU7" s="148" t="s">
        <v>1733</v>
      </c>
      <c r="EV7" s="148" t="s">
        <v>1733</v>
      </c>
      <c r="EW7" s="148" t="s">
        <v>1733</v>
      </c>
      <c r="EX7" s="159" t="s">
        <v>1201</v>
      </c>
      <c r="EY7" s="159" t="s">
        <v>1201</v>
      </c>
      <c r="EZ7" s="159" t="s">
        <v>1201</v>
      </c>
      <c r="FA7" s="160" t="s">
        <v>1727</v>
      </c>
      <c r="FB7" s="156" t="s">
        <v>21</v>
      </c>
      <c r="FC7" s="156" t="s">
        <v>21</v>
      </c>
      <c r="FD7" s="156" t="s">
        <v>21</v>
      </c>
      <c r="FE7" s="156" t="s">
        <v>21</v>
      </c>
      <c r="FF7" s="156" t="s">
        <v>21</v>
      </c>
      <c r="FG7" s="164" t="s">
        <v>1757</v>
      </c>
      <c r="FH7" s="155" t="s">
        <v>21</v>
      </c>
      <c r="FI7" s="155" t="s">
        <v>21</v>
      </c>
      <c r="FJ7" s="155" t="s">
        <v>21</v>
      </c>
      <c r="FK7" s="155" t="s">
        <v>21</v>
      </c>
      <c r="FL7" s="155" t="s">
        <v>21</v>
      </c>
      <c r="FM7" s="155" t="s">
        <v>21</v>
      </c>
      <c r="FN7" s="155" t="s">
        <v>21</v>
      </c>
      <c r="FO7" s="155" t="s">
        <v>21</v>
      </c>
      <c r="FP7" s="155" t="s">
        <v>21</v>
      </c>
      <c r="FQ7" s="155" t="s">
        <v>21</v>
      </c>
      <c r="FR7" s="155" t="s">
        <v>21</v>
      </c>
      <c r="FS7" s="155" t="s">
        <v>21</v>
      </c>
      <c r="FT7" s="155" t="s">
        <v>21</v>
      </c>
      <c r="FU7" s="155" t="s">
        <v>21</v>
      </c>
      <c r="FV7" s="155" t="s">
        <v>21</v>
      </c>
      <c r="FW7" s="155" t="s">
        <v>21</v>
      </c>
    </row>
    <row r="8" spans="2:183" ht="12.75" customHeight="1" x14ac:dyDescent="0.3">
      <c r="B8" t="s">
        <v>1729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74" t="s">
        <v>1730</v>
      </c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4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74"/>
      <c r="DW8" s="74"/>
      <c r="DX8" s="74"/>
      <c r="DY8" s="84" t="s">
        <v>1729</v>
      </c>
      <c r="DZ8" s="74"/>
      <c r="EA8" s="74"/>
      <c r="EB8" s="74"/>
      <c r="EC8" s="74"/>
      <c r="ED8" s="84" t="s">
        <v>1729</v>
      </c>
      <c r="EE8" s="74"/>
      <c r="EF8" s="74"/>
      <c r="EG8" s="74"/>
      <c r="EH8" s="74"/>
      <c r="EI8" s="84" t="s">
        <v>1729</v>
      </c>
      <c r="EJ8" s="84" t="s">
        <v>1729</v>
      </c>
      <c r="EK8" s="84" t="s">
        <v>1729</v>
      </c>
      <c r="EL8" s="84" t="s">
        <v>1729</v>
      </c>
      <c r="EM8" s="84" t="s">
        <v>1729</v>
      </c>
      <c r="EN8" s="84" t="s">
        <v>1729</v>
      </c>
      <c r="EO8" s="84" t="s">
        <v>1729</v>
      </c>
      <c r="EP8" s="84" t="s">
        <v>1729</v>
      </c>
      <c r="EQ8" s="84" t="s">
        <v>1729</v>
      </c>
      <c r="ER8" s="84" t="s">
        <v>1729</v>
      </c>
      <c r="ES8" s="74" t="s">
        <v>1732</v>
      </c>
      <c r="ET8" s="148"/>
      <c r="EU8" s="148"/>
      <c r="EV8" s="148"/>
      <c r="EW8" s="148"/>
      <c r="EX8" s="159"/>
      <c r="EY8" s="159"/>
      <c r="EZ8" s="159"/>
      <c r="FA8" s="160"/>
      <c r="FB8" s="156"/>
      <c r="FC8" s="156"/>
      <c r="FD8" s="156"/>
      <c r="FE8" s="156"/>
      <c r="FF8" s="156"/>
      <c r="FG8" s="164"/>
      <c r="FH8" s="155"/>
      <c r="FI8" s="155"/>
      <c r="FJ8" s="155"/>
      <c r="FK8" s="155"/>
      <c r="FL8" s="155"/>
      <c r="FM8" s="155"/>
      <c r="FN8" s="155"/>
      <c r="FO8" s="155"/>
      <c r="FP8" s="155"/>
      <c r="FQ8" s="155"/>
      <c r="FR8" s="155"/>
      <c r="FS8" s="155"/>
      <c r="FT8" s="155"/>
      <c r="FU8" s="155"/>
      <c r="FV8" s="155"/>
      <c r="FW8" s="155"/>
    </row>
    <row r="9" spans="2:183" ht="12.75" customHeight="1" x14ac:dyDescent="0.3">
      <c r="B9" t="s">
        <v>1252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76" t="s">
        <v>2</v>
      </c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5"/>
      <c r="DN9" s="75"/>
      <c r="DO9" s="75"/>
      <c r="DP9" s="75"/>
      <c r="DQ9" s="75"/>
      <c r="DR9" s="75"/>
      <c r="DS9" s="75"/>
      <c r="DT9" s="75"/>
      <c r="DU9" s="75"/>
      <c r="DV9" s="75"/>
      <c r="DW9" s="75"/>
      <c r="DX9" s="75"/>
      <c r="DY9" s="82" t="s">
        <v>1252</v>
      </c>
      <c r="DZ9" s="75"/>
      <c r="EA9" s="75"/>
      <c r="EB9" s="75"/>
      <c r="EC9" s="75"/>
      <c r="ED9" s="82" t="s">
        <v>1252</v>
      </c>
      <c r="EE9" s="75"/>
      <c r="EF9" s="75"/>
      <c r="EG9" s="75"/>
      <c r="EH9" s="75"/>
      <c r="EI9" s="76" t="s">
        <v>1737</v>
      </c>
      <c r="EJ9" s="145" t="s">
        <v>1252</v>
      </c>
      <c r="EK9" s="145" t="s">
        <v>1252</v>
      </c>
      <c r="EL9" s="145" t="s">
        <v>1252</v>
      </c>
      <c r="EM9" s="145" t="s">
        <v>1252</v>
      </c>
      <c r="EN9" s="145" t="s">
        <v>1252</v>
      </c>
      <c r="EO9" s="145" t="s">
        <v>1252</v>
      </c>
      <c r="EP9" s="145" t="s">
        <v>1252</v>
      </c>
      <c r="EQ9" s="145" t="s">
        <v>1252</v>
      </c>
      <c r="ER9" s="145" t="s">
        <v>1252</v>
      </c>
      <c r="ES9" s="145" t="s">
        <v>1252</v>
      </c>
      <c r="ET9" s="145" t="s">
        <v>1252</v>
      </c>
      <c r="EU9" s="145" t="s">
        <v>1252</v>
      </c>
      <c r="EV9" s="145" t="s">
        <v>1252</v>
      </c>
      <c r="EW9" s="162" t="s">
        <v>1736</v>
      </c>
      <c r="EX9" s="159"/>
      <c r="EY9" s="159"/>
      <c r="EZ9" s="159"/>
      <c r="FA9" s="160"/>
      <c r="FB9" s="156"/>
      <c r="FC9" s="156"/>
      <c r="FD9" s="156"/>
      <c r="FE9" s="156"/>
      <c r="FF9" s="156"/>
      <c r="FG9" s="164"/>
      <c r="FH9" s="155"/>
      <c r="FI9" s="155"/>
      <c r="FJ9" s="155"/>
      <c r="FK9" s="155"/>
      <c r="FL9" s="155"/>
      <c r="FM9" s="155"/>
      <c r="FN9" s="155"/>
      <c r="FO9" s="155"/>
      <c r="FP9" s="155"/>
      <c r="FQ9" s="155"/>
      <c r="FR9" s="155"/>
      <c r="FS9" s="155"/>
      <c r="FT9" s="155"/>
      <c r="FU9" s="155"/>
      <c r="FV9" s="155"/>
      <c r="FW9" s="155"/>
    </row>
    <row r="10" spans="2:183" ht="12.75" customHeight="1" x14ac:dyDescent="0.3">
      <c r="B10" t="s">
        <v>1734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73" t="s">
        <v>2</v>
      </c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83" t="s">
        <v>1734</v>
      </c>
      <c r="DZ10" s="73"/>
      <c r="EA10" s="73"/>
      <c r="EB10" s="73"/>
      <c r="EC10" s="73"/>
      <c r="ED10" s="83" t="s">
        <v>1734</v>
      </c>
      <c r="EE10" s="73"/>
      <c r="EF10" s="73"/>
      <c r="EG10" s="73"/>
      <c r="EH10" s="73"/>
      <c r="EI10" s="73" t="s">
        <v>1738</v>
      </c>
      <c r="EJ10" s="145"/>
      <c r="EK10" s="145"/>
      <c r="EL10" s="145"/>
      <c r="EM10" s="145"/>
      <c r="EN10" s="145"/>
      <c r="EO10" s="145"/>
      <c r="EP10" s="145"/>
      <c r="EQ10" s="145"/>
      <c r="ER10" s="145"/>
      <c r="ES10" s="145"/>
      <c r="ET10" s="145"/>
      <c r="EU10" s="145"/>
      <c r="EV10" s="145"/>
      <c r="EW10" s="162"/>
      <c r="EX10" s="159"/>
      <c r="EY10" s="159"/>
      <c r="EZ10" s="159"/>
      <c r="FA10" s="160"/>
      <c r="FB10" s="156"/>
      <c r="FC10" s="156"/>
      <c r="FD10" s="156"/>
      <c r="FE10" s="156"/>
      <c r="FF10" s="156"/>
      <c r="FG10" s="164"/>
      <c r="FH10" s="155"/>
      <c r="FI10" s="155"/>
      <c r="FJ10" s="155"/>
      <c r="FK10" s="155"/>
      <c r="FL10" s="155"/>
      <c r="FM10" s="155"/>
      <c r="FN10" s="155"/>
      <c r="FO10" s="155"/>
      <c r="FP10" s="155"/>
      <c r="FQ10" s="155"/>
      <c r="FR10" s="155"/>
      <c r="FS10" s="155"/>
      <c r="FT10" s="155"/>
      <c r="FU10" s="155"/>
      <c r="FV10" s="155"/>
      <c r="FW10" s="155"/>
    </row>
    <row r="11" spans="2:183" ht="12.75" customHeight="1" x14ac:dyDescent="0.25">
      <c r="B11" t="s">
        <v>1202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86" t="s">
        <v>2</v>
      </c>
      <c r="EP11" s="86" t="s">
        <v>1202</v>
      </c>
      <c r="EQ11" s="86" t="s">
        <v>1202</v>
      </c>
      <c r="ER11" s="86" t="s">
        <v>1202</v>
      </c>
      <c r="ES11" s="86" t="s">
        <v>1202</v>
      </c>
      <c r="ET11" s="86" t="s">
        <v>1202</v>
      </c>
      <c r="EU11" s="86" t="s">
        <v>1202</v>
      </c>
      <c r="EV11" s="86" t="s">
        <v>1202</v>
      </c>
      <c r="EW11" s="86" t="s">
        <v>1768</v>
      </c>
      <c r="EX11" s="159"/>
      <c r="EY11" s="159"/>
      <c r="EZ11" s="159"/>
      <c r="FA11" s="160"/>
      <c r="FB11" s="156"/>
      <c r="FC11" s="156"/>
      <c r="FD11" s="156"/>
      <c r="FE11" s="156"/>
      <c r="FF11" s="156"/>
      <c r="FG11" s="164"/>
      <c r="FH11" s="155"/>
      <c r="FI11" s="155"/>
      <c r="FJ11" s="155"/>
      <c r="FK11" s="155"/>
      <c r="FL11" s="155"/>
      <c r="FM11" s="155"/>
      <c r="FN11" s="155"/>
      <c r="FO11" s="155"/>
      <c r="FP11" s="155"/>
      <c r="FQ11" s="155"/>
      <c r="FR11" s="155"/>
      <c r="FS11" s="155"/>
      <c r="FT11" s="155"/>
      <c r="FU11" s="155"/>
      <c r="FV11" s="155"/>
      <c r="FW11" s="155"/>
    </row>
    <row r="12" spans="2:183" ht="12.75" customHeight="1" x14ac:dyDescent="0.3">
      <c r="B12" t="s">
        <v>21</v>
      </c>
      <c r="C12" s="65" t="s">
        <v>2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81" t="s">
        <v>21</v>
      </c>
      <c r="DV12" s="65"/>
      <c r="DW12" s="65"/>
      <c r="DX12" s="65"/>
      <c r="DY12" s="81" t="s">
        <v>21</v>
      </c>
      <c r="DZ12" s="65"/>
      <c r="EA12" s="65"/>
      <c r="EB12" s="65"/>
      <c r="EC12" s="65"/>
      <c r="ED12" s="81" t="s">
        <v>21</v>
      </c>
      <c r="EE12" s="81" t="s">
        <v>21</v>
      </c>
      <c r="EF12" s="81" t="s">
        <v>21</v>
      </c>
      <c r="EG12" s="81" t="s">
        <v>21</v>
      </c>
      <c r="EH12" s="81" t="s">
        <v>21</v>
      </c>
      <c r="EI12" s="81" t="s">
        <v>21</v>
      </c>
      <c r="EJ12" s="81" t="s">
        <v>21</v>
      </c>
      <c r="EK12" s="81" t="s">
        <v>21</v>
      </c>
      <c r="EL12" s="81" t="s">
        <v>21</v>
      </c>
      <c r="EM12" s="81" t="s">
        <v>21</v>
      </c>
      <c r="EN12" s="81" t="s">
        <v>21</v>
      </c>
      <c r="EO12" s="81" t="s">
        <v>21</v>
      </c>
      <c r="EP12" s="81" t="s">
        <v>21</v>
      </c>
      <c r="EQ12" s="81" t="s">
        <v>21</v>
      </c>
      <c r="ER12" s="81" t="s">
        <v>21</v>
      </c>
      <c r="ES12" s="81" t="s">
        <v>21</v>
      </c>
      <c r="ET12" s="81" t="s">
        <v>21</v>
      </c>
      <c r="EU12" s="81" t="s">
        <v>21</v>
      </c>
      <c r="EV12" s="81" t="s">
        <v>21</v>
      </c>
      <c r="EW12" s="65" t="s">
        <v>1728</v>
      </c>
      <c r="EX12" s="147" t="s">
        <v>21</v>
      </c>
      <c r="EY12" s="147" t="s">
        <v>21</v>
      </c>
      <c r="EZ12" s="147" t="s">
        <v>21</v>
      </c>
      <c r="FA12" s="163" t="s">
        <v>1739</v>
      </c>
      <c r="FB12" s="156"/>
      <c r="FC12" s="156"/>
      <c r="FD12" s="156"/>
      <c r="FE12" s="156"/>
      <c r="FF12" s="156"/>
      <c r="FG12" s="164"/>
      <c r="FH12" s="155"/>
      <c r="FI12" s="155"/>
      <c r="FJ12" s="155"/>
      <c r="FK12" s="155"/>
      <c r="FL12" s="155"/>
      <c r="FM12" s="155"/>
      <c r="FN12" s="155"/>
      <c r="FO12" s="155"/>
      <c r="FP12" s="155"/>
      <c r="FQ12" s="155"/>
      <c r="FR12" s="155"/>
      <c r="FS12" s="155"/>
      <c r="FT12" s="155"/>
      <c r="FU12" s="155"/>
      <c r="FV12" s="155"/>
      <c r="FW12" s="155"/>
    </row>
    <row r="13" spans="2:183" ht="12.75" customHeight="1" x14ac:dyDescent="0.25">
      <c r="B13" s="22" t="s">
        <v>1724</v>
      </c>
      <c r="C13" s="62"/>
      <c r="D13" s="62"/>
      <c r="E13" s="62"/>
      <c r="F13" s="62"/>
      <c r="G13" s="62"/>
      <c r="H13" s="62"/>
      <c r="I13" s="62"/>
      <c r="J13" s="68" t="s">
        <v>2</v>
      </c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70" t="s">
        <v>1725</v>
      </c>
      <c r="DA13" s="70"/>
      <c r="DB13" s="70"/>
      <c r="DC13" s="70"/>
      <c r="DD13" s="70"/>
      <c r="DE13" s="70" t="s">
        <v>1760</v>
      </c>
      <c r="DF13" s="143" t="s">
        <v>1707</v>
      </c>
      <c r="DG13" s="143"/>
      <c r="DH13" s="143"/>
      <c r="DI13" s="143"/>
      <c r="DJ13" s="143"/>
      <c r="DK13" s="143"/>
      <c r="DL13" s="143"/>
      <c r="DM13" s="143"/>
      <c r="DN13" s="143"/>
      <c r="DO13" s="143"/>
      <c r="DP13" s="143"/>
      <c r="DQ13" s="143"/>
      <c r="DR13" s="143"/>
      <c r="DS13" s="143"/>
      <c r="DT13" s="144" t="s">
        <v>1762</v>
      </c>
      <c r="DU13" s="135" t="s">
        <v>1707</v>
      </c>
      <c r="DV13" s="135"/>
      <c r="DW13" s="135"/>
      <c r="DX13" s="135"/>
      <c r="DY13" s="135" t="s">
        <v>1707</v>
      </c>
      <c r="DZ13" s="135"/>
      <c r="EA13" s="135"/>
      <c r="EB13" s="135"/>
      <c r="EC13" s="135"/>
      <c r="ED13" s="135" t="s">
        <v>1707</v>
      </c>
      <c r="EE13" s="135"/>
      <c r="EF13" s="135"/>
      <c r="EG13" s="135"/>
      <c r="EH13" s="135"/>
      <c r="EI13" s="135" t="s">
        <v>1707</v>
      </c>
      <c r="EJ13" s="135" t="s">
        <v>1707</v>
      </c>
      <c r="EK13" s="135" t="s">
        <v>1707</v>
      </c>
      <c r="EL13" s="135" t="s">
        <v>1707</v>
      </c>
      <c r="EM13" s="135" t="s">
        <v>1707</v>
      </c>
      <c r="EN13" s="135" t="s">
        <v>1707</v>
      </c>
      <c r="EO13" s="135" t="s">
        <v>1707</v>
      </c>
      <c r="EP13" s="135" t="s">
        <v>1707</v>
      </c>
      <c r="EQ13" s="135" t="s">
        <v>1707</v>
      </c>
      <c r="ER13" s="135" t="s">
        <v>1707</v>
      </c>
      <c r="ES13" s="135" t="s">
        <v>1707</v>
      </c>
      <c r="ET13" s="135" t="s">
        <v>1707</v>
      </c>
      <c r="EU13" s="135" t="s">
        <v>1707</v>
      </c>
      <c r="EV13" s="135" t="s">
        <v>1707</v>
      </c>
      <c r="EW13" s="146" t="s">
        <v>1727</v>
      </c>
      <c r="EX13" s="147"/>
      <c r="EY13" s="147"/>
      <c r="EZ13" s="147"/>
      <c r="FA13" s="163"/>
      <c r="FB13" s="156"/>
      <c r="FC13" s="156"/>
      <c r="FD13" s="156"/>
      <c r="FE13" s="156"/>
      <c r="FF13" s="156"/>
      <c r="FG13" s="164"/>
      <c r="FH13" s="155"/>
      <c r="FI13" s="155"/>
      <c r="FJ13" s="155"/>
      <c r="FK13" s="155"/>
      <c r="FL13" s="155"/>
      <c r="FM13" s="155"/>
      <c r="FN13" s="155"/>
      <c r="FO13" s="155"/>
      <c r="FP13" s="155"/>
      <c r="FQ13" s="155"/>
      <c r="FR13" s="155"/>
      <c r="FS13" s="155"/>
      <c r="FT13" s="155"/>
      <c r="FU13" s="155"/>
      <c r="FV13" s="155"/>
      <c r="FW13" s="155"/>
    </row>
    <row r="14" spans="2:183" ht="12.75" customHeight="1" x14ac:dyDescent="0.25">
      <c r="B14" s="22" t="s">
        <v>1726</v>
      </c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5" t="s">
        <v>2</v>
      </c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 t="s">
        <v>1759</v>
      </c>
      <c r="DF14" s="143"/>
      <c r="DG14" s="143"/>
      <c r="DH14" s="143"/>
      <c r="DI14" s="143"/>
      <c r="DJ14" s="143"/>
      <c r="DK14" s="143"/>
      <c r="DL14" s="143"/>
      <c r="DM14" s="143"/>
      <c r="DN14" s="143"/>
      <c r="DO14" s="143"/>
      <c r="DP14" s="143"/>
      <c r="DQ14" s="143"/>
      <c r="DR14" s="143"/>
      <c r="DS14" s="143"/>
      <c r="DT14" s="144"/>
      <c r="DU14" s="135"/>
      <c r="DV14" s="135"/>
      <c r="DW14" s="135"/>
      <c r="DX14" s="135"/>
      <c r="DY14" s="135"/>
      <c r="DZ14" s="135"/>
      <c r="EA14" s="135"/>
      <c r="EB14" s="135"/>
      <c r="EC14" s="135"/>
      <c r="ED14" s="135"/>
      <c r="EE14" s="135"/>
      <c r="EF14" s="135"/>
      <c r="EG14" s="135"/>
      <c r="EH14" s="135"/>
      <c r="EI14" s="135"/>
      <c r="EJ14" s="135"/>
      <c r="EK14" s="135"/>
      <c r="EL14" s="135"/>
      <c r="EM14" s="135"/>
      <c r="EN14" s="135"/>
      <c r="EO14" s="135"/>
      <c r="EP14" s="135"/>
      <c r="EQ14" s="135"/>
      <c r="ER14" s="135"/>
      <c r="ES14" s="135"/>
      <c r="ET14" s="135"/>
      <c r="EU14" s="135"/>
      <c r="EV14" s="135"/>
      <c r="EW14" s="146"/>
      <c r="EX14" s="147"/>
      <c r="EY14" s="147"/>
      <c r="EZ14" s="147"/>
      <c r="FA14" s="163"/>
      <c r="FB14" s="156"/>
      <c r="FC14" s="156"/>
      <c r="FD14" s="156"/>
      <c r="FE14" s="156"/>
      <c r="FF14" s="156"/>
      <c r="FG14" s="164"/>
      <c r="FH14" s="155"/>
      <c r="FI14" s="155"/>
      <c r="FJ14" s="155"/>
      <c r="FK14" s="155"/>
      <c r="FL14" s="155"/>
      <c r="FM14" s="155"/>
      <c r="FN14" s="155"/>
      <c r="FO14" s="155"/>
      <c r="FP14" s="155"/>
      <c r="FQ14" s="155"/>
      <c r="FR14" s="155"/>
      <c r="FS14" s="155"/>
      <c r="FT14" s="155"/>
      <c r="FU14" s="155"/>
      <c r="FV14" s="155"/>
      <c r="FW14" s="155"/>
    </row>
    <row r="15" spans="2:183" ht="12.75" customHeight="1" x14ac:dyDescent="0.25">
      <c r="B15" s="22" t="s">
        <v>1747</v>
      </c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80" t="s">
        <v>1758</v>
      </c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 t="s">
        <v>1761</v>
      </c>
      <c r="DU15" s="135"/>
      <c r="DV15" s="135"/>
      <c r="DW15" s="135"/>
      <c r="DX15" s="135"/>
      <c r="DY15" s="135"/>
      <c r="DZ15" s="135"/>
      <c r="EA15" s="135"/>
      <c r="EB15" s="135"/>
      <c r="EC15" s="135"/>
      <c r="ED15" s="135"/>
      <c r="EE15" s="135"/>
      <c r="EF15" s="135"/>
      <c r="EG15" s="135"/>
      <c r="EH15" s="135"/>
      <c r="EI15" s="135"/>
      <c r="EJ15" s="135"/>
      <c r="EK15" s="135"/>
      <c r="EL15" s="135"/>
      <c r="EM15" s="135"/>
      <c r="EN15" s="135"/>
      <c r="EO15" s="135"/>
      <c r="EP15" s="135"/>
      <c r="EQ15" s="135"/>
      <c r="ER15" s="135"/>
      <c r="ES15" s="135"/>
      <c r="ET15" s="135"/>
      <c r="EU15" s="135"/>
      <c r="EV15" s="135"/>
      <c r="EW15" s="146"/>
      <c r="EX15" s="147"/>
      <c r="EY15" s="147"/>
      <c r="EZ15" s="147"/>
      <c r="FA15" s="163"/>
      <c r="FB15" s="156"/>
      <c r="FC15" s="156"/>
      <c r="FD15" s="156"/>
      <c r="FE15" s="156"/>
      <c r="FF15" s="156"/>
      <c r="FG15" s="164"/>
      <c r="FH15" s="155"/>
      <c r="FI15" s="155"/>
      <c r="FJ15" s="155"/>
      <c r="FK15" s="155"/>
      <c r="FL15" s="155"/>
      <c r="FM15" s="155"/>
      <c r="FN15" s="155"/>
      <c r="FO15" s="155"/>
      <c r="FP15" s="155"/>
      <c r="FQ15" s="155"/>
      <c r="FR15" s="155"/>
      <c r="FS15" s="155"/>
      <c r="FT15" s="155"/>
      <c r="FU15" s="155"/>
      <c r="FV15" s="155"/>
      <c r="FW15" s="155"/>
    </row>
    <row r="16" spans="2:183" ht="12.75" customHeight="1" x14ac:dyDescent="0.25">
      <c r="B16" t="s">
        <v>1740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79" t="s">
        <v>2</v>
      </c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 t="s">
        <v>1746</v>
      </c>
      <c r="CG16" s="149" t="s">
        <v>1740</v>
      </c>
      <c r="CH16" s="150"/>
      <c r="CI16" s="150"/>
      <c r="CJ16" s="150"/>
      <c r="CK16" s="150"/>
      <c r="CL16" s="150"/>
      <c r="CM16" s="150"/>
      <c r="CN16" s="150"/>
      <c r="CO16" s="150"/>
      <c r="CP16" s="150"/>
      <c r="CQ16" s="150"/>
      <c r="CR16" s="150"/>
      <c r="CS16" s="154" t="s">
        <v>1755</v>
      </c>
      <c r="CT16" s="153" t="s">
        <v>1740</v>
      </c>
      <c r="CU16" s="153"/>
      <c r="CV16" s="153"/>
      <c r="CW16" s="153"/>
      <c r="CX16" s="153"/>
      <c r="CY16" s="153"/>
      <c r="CZ16" s="153"/>
      <c r="DA16" s="153"/>
      <c r="DB16" s="153"/>
      <c r="DC16" s="153"/>
      <c r="DD16" s="153"/>
      <c r="DE16" s="153"/>
      <c r="DF16" s="153"/>
      <c r="DG16" s="153"/>
      <c r="DH16" s="153"/>
      <c r="DI16" s="153"/>
      <c r="DJ16" s="153"/>
      <c r="DK16" s="153"/>
      <c r="DL16" s="153"/>
      <c r="DM16" s="153"/>
      <c r="DN16" s="153"/>
      <c r="DO16" s="153"/>
      <c r="DP16" s="153"/>
      <c r="DQ16" s="153"/>
      <c r="DR16" s="153"/>
      <c r="DS16" s="153"/>
      <c r="DT16" s="153"/>
      <c r="DU16" s="153"/>
      <c r="DV16" s="153"/>
      <c r="DW16" s="153"/>
      <c r="DX16" s="153"/>
      <c r="DY16" s="134" t="s">
        <v>1740</v>
      </c>
      <c r="DZ16" s="134" t="s">
        <v>1740</v>
      </c>
      <c r="EA16" s="134" t="s">
        <v>1740</v>
      </c>
      <c r="EB16" s="134" t="s">
        <v>1740</v>
      </c>
      <c r="EC16" s="134" t="s">
        <v>1740</v>
      </c>
      <c r="ED16" s="134" t="s">
        <v>1740</v>
      </c>
      <c r="EE16" s="134" t="s">
        <v>1740</v>
      </c>
      <c r="EF16" s="134" t="s">
        <v>1740</v>
      </c>
      <c r="EG16" s="134" t="s">
        <v>1740</v>
      </c>
      <c r="EH16" s="134" t="s">
        <v>1740</v>
      </c>
      <c r="EI16" s="134" t="s">
        <v>1740</v>
      </c>
      <c r="EJ16" s="134" t="s">
        <v>1740</v>
      </c>
      <c r="EK16" s="134" t="s">
        <v>1740</v>
      </c>
      <c r="EL16" s="134" t="s">
        <v>1740</v>
      </c>
      <c r="EM16" s="134" t="s">
        <v>1740</v>
      </c>
      <c r="EN16" s="134" t="s">
        <v>1740</v>
      </c>
      <c r="EO16" s="134" t="s">
        <v>1740</v>
      </c>
      <c r="EP16" s="134" t="s">
        <v>1740</v>
      </c>
      <c r="EQ16" s="157" t="s">
        <v>1740</v>
      </c>
      <c r="ER16" s="158" t="s">
        <v>1756</v>
      </c>
      <c r="ES16" s="148" t="s">
        <v>1740</v>
      </c>
      <c r="ET16" s="149" t="s">
        <v>1740</v>
      </c>
      <c r="EU16" s="149" t="s">
        <v>1740</v>
      </c>
      <c r="EV16" s="149" t="s">
        <v>1740</v>
      </c>
      <c r="EW16" s="149" t="s">
        <v>1740</v>
      </c>
      <c r="EX16" s="149" t="s">
        <v>1740</v>
      </c>
      <c r="EY16" s="149" t="s">
        <v>1740</v>
      </c>
      <c r="EZ16" s="149" t="s">
        <v>1740</v>
      </c>
      <c r="FA16" s="149" t="s">
        <v>1740</v>
      </c>
      <c r="FB16" s="149" t="s">
        <v>1740</v>
      </c>
      <c r="FC16" s="149" t="s">
        <v>1740</v>
      </c>
      <c r="FD16" s="149" t="s">
        <v>1740</v>
      </c>
      <c r="FE16" s="149" t="s">
        <v>1740</v>
      </c>
      <c r="FF16" s="149" t="s">
        <v>1740</v>
      </c>
      <c r="FG16" s="154" t="s">
        <v>1727</v>
      </c>
      <c r="FH16" s="155"/>
      <c r="FI16" s="155"/>
      <c r="FJ16" s="155"/>
      <c r="FK16" s="155"/>
      <c r="FL16" s="155"/>
      <c r="FM16" s="155"/>
      <c r="FN16" s="155"/>
      <c r="FO16" s="155"/>
      <c r="FP16" s="155"/>
      <c r="FQ16" s="155"/>
      <c r="FR16" s="155"/>
      <c r="FS16" s="155"/>
      <c r="FT16" s="155"/>
      <c r="FU16" s="155"/>
      <c r="FV16" s="155"/>
      <c r="FW16" s="155"/>
    </row>
    <row r="17" spans="2:179" ht="12.75" customHeight="1" x14ac:dyDescent="0.25">
      <c r="B17" s="22" t="s">
        <v>1741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78" t="s">
        <v>1743</v>
      </c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8" t="s">
        <v>1744</v>
      </c>
      <c r="CF17" s="78" t="s">
        <v>1745</v>
      </c>
      <c r="CG17" s="149"/>
      <c r="CH17" s="150"/>
      <c r="CI17" s="150"/>
      <c r="CJ17" s="150"/>
      <c r="CK17" s="150"/>
      <c r="CL17" s="150"/>
      <c r="CM17" s="150"/>
      <c r="CN17" s="150"/>
      <c r="CO17" s="150"/>
      <c r="CP17" s="150"/>
      <c r="CQ17" s="150"/>
      <c r="CR17" s="150"/>
      <c r="CS17" s="154"/>
      <c r="CT17" s="153"/>
      <c r="CU17" s="153"/>
      <c r="CV17" s="153"/>
      <c r="CW17" s="153"/>
      <c r="CX17" s="153"/>
      <c r="CY17" s="153"/>
      <c r="CZ17" s="153"/>
      <c r="DA17" s="153"/>
      <c r="DB17" s="153"/>
      <c r="DC17" s="153"/>
      <c r="DD17" s="153"/>
      <c r="DE17" s="153"/>
      <c r="DF17" s="153"/>
      <c r="DG17" s="153"/>
      <c r="DH17" s="153"/>
      <c r="DI17" s="153"/>
      <c r="DJ17" s="153"/>
      <c r="DK17" s="153"/>
      <c r="DL17" s="153"/>
      <c r="DM17" s="153"/>
      <c r="DN17" s="153"/>
      <c r="DO17" s="153"/>
      <c r="DP17" s="153"/>
      <c r="DQ17" s="153"/>
      <c r="DR17" s="153"/>
      <c r="DS17" s="153"/>
      <c r="DT17" s="153"/>
      <c r="DU17" s="153"/>
      <c r="DV17" s="153"/>
      <c r="DW17" s="153"/>
      <c r="DX17" s="153"/>
      <c r="DY17" s="134"/>
      <c r="DZ17" s="134"/>
      <c r="EA17" s="134"/>
      <c r="EB17" s="134"/>
      <c r="EC17" s="134"/>
      <c r="ED17" s="134"/>
      <c r="EE17" s="134"/>
      <c r="EF17" s="134"/>
      <c r="EG17" s="134"/>
      <c r="EH17" s="134"/>
      <c r="EI17" s="134"/>
      <c r="EJ17" s="134"/>
      <c r="EK17" s="134"/>
      <c r="EL17" s="134"/>
      <c r="EM17" s="134"/>
      <c r="EN17" s="134"/>
      <c r="EO17" s="134"/>
      <c r="EP17" s="134"/>
      <c r="EQ17" s="157"/>
      <c r="ER17" s="158"/>
      <c r="ES17" s="148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54"/>
      <c r="FH17" s="155"/>
      <c r="FI17" s="155"/>
      <c r="FJ17" s="155"/>
      <c r="FK17" s="155"/>
      <c r="FL17" s="155"/>
      <c r="FM17" s="155"/>
      <c r="FN17" s="155"/>
      <c r="FO17" s="155"/>
      <c r="FP17" s="155"/>
      <c r="FQ17" s="155"/>
      <c r="FR17" s="155"/>
      <c r="FS17" s="155"/>
      <c r="FT17" s="155"/>
      <c r="FU17" s="155"/>
      <c r="FV17" s="155"/>
      <c r="FW17" s="155"/>
    </row>
    <row r="18" spans="2:179" ht="12.75" customHeight="1" x14ac:dyDescent="0.25">
      <c r="B18" s="22" t="s">
        <v>1754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8" t="s">
        <v>2</v>
      </c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 t="s">
        <v>1753</v>
      </c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153"/>
      <c r="DX18" s="153"/>
      <c r="DY18" s="134"/>
      <c r="DZ18" s="134"/>
      <c r="EA18" s="134"/>
      <c r="EB18" s="134"/>
      <c r="EC18" s="134"/>
      <c r="ED18" s="134"/>
      <c r="EE18" s="134"/>
      <c r="EF18" s="134"/>
      <c r="EG18" s="134"/>
      <c r="EH18" s="134"/>
      <c r="EI18" s="134"/>
      <c r="EJ18" s="134"/>
      <c r="EK18" s="134"/>
      <c r="EL18" s="134"/>
      <c r="EM18" s="134"/>
      <c r="EN18" s="134"/>
      <c r="EO18" s="134"/>
      <c r="EP18" s="134"/>
      <c r="EQ18" s="157"/>
      <c r="ER18" s="158"/>
      <c r="ES18" s="148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54"/>
      <c r="FH18" s="155"/>
      <c r="FI18" s="155"/>
      <c r="FJ18" s="155"/>
      <c r="FK18" s="155"/>
      <c r="FL18" s="155"/>
      <c r="FM18" s="155"/>
      <c r="FN18" s="155"/>
      <c r="FO18" s="155"/>
      <c r="FP18" s="155"/>
      <c r="FQ18" s="155"/>
      <c r="FR18" s="155"/>
      <c r="FS18" s="155"/>
      <c r="FT18" s="155"/>
      <c r="FU18" s="155"/>
      <c r="FV18" s="155"/>
      <c r="FW18" s="155"/>
    </row>
    <row r="19" spans="2:179" ht="12.75" customHeight="1" x14ac:dyDescent="0.25">
      <c r="B19" s="22" t="s">
        <v>1748</v>
      </c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85" t="s">
        <v>2</v>
      </c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 t="s">
        <v>1753</v>
      </c>
      <c r="EQ19" s="157"/>
      <c r="ER19" s="158"/>
      <c r="ES19" s="148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54"/>
      <c r="FH19" s="155"/>
      <c r="FI19" s="155"/>
      <c r="FJ19" s="155"/>
      <c r="FK19" s="155"/>
      <c r="FL19" s="155"/>
      <c r="FM19" s="155"/>
      <c r="FN19" s="155"/>
      <c r="FO19" s="155"/>
      <c r="FP19" s="155"/>
      <c r="FQ19" s="155"/>
      <c r="FR19" s="155"/>
      <c r="FS19" s="155"/>
      <c r="FT19" s="155"/>
      <c r="FU19" s="155"/>
      <c r="FV19" s="155"/>
      <c r="FW19" s="155"/>
    </row>
    <row r="20" spans="2:179" ht="12.75" customHeight="1" x14ac:dyDescent="0.25">
      <c r="B20" s="22" t="s">
        <v>1742</v>
      </c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6" t="s">
        <v>1750</v>
      </c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 t="s">
        <v>1752</v>
      </c>
      <c r="CF20" s="152" t="s">
        <v>1742</v>
      </c>
      <c r="CG20" s="151" t="s">
        <v>1742</v>
      </c>
      <c r="CH20" s="151" t="s">
        <v>1742</v>
      </c>
      <c r="CI20" s="151" t="s">
        <v>1742</v>
      </c>
      <c r="CJ20" s="151" t="s">
        <v>1742</v>
      </c>
      <c r="CK20" s="151" t="s">
        <v>1742</v>
      </c>
      <c r="CL20" s="151" t="s">
        <v>1742</v>
      </c>
      <c r="CM20" s="151" t="s">
        <v>1742</v>
      </c>
      <c r="CN20" s="151" t="s">
        <v>1742</v>
      </c>
      <c r="CO20" s="151" t="s">
        <v>1742</v>
      </c>
      <c r="CP20" s="151" t="s">
        <v>1742</v>
      </c>
      <c r="CQ20" s="151" t="s">
        <v>1742</v>
      </c>
      <c r="CR20" s="151" t="s">
        <v>1742</v>
      </c>
      <c r="CS20" s="151" t="s">
        <v>1742</v>
      </c>
      <c r="CT20" s="151" t="s">
        <v>1742</v>
      </c>
      <c r="CU20" s="151" t="s">
        <v>1742</v>
      </c>
      <c r="CV20" s="151" t="s">
        <v>1742</v>
      </c>
      <c r="CW20" s="151" t="s">
        <v>1742</v>
      </c>
      <c r="CX20" s="151" t="s">
        <v>1742</v>
      </c>
      <c r="CY20" s="151" t="s">
        <v>1742</v>
      </c>
      <c r="CZ20" s="151" t="s">
        <v>1742</v>
      </c>
      <c r="DA20" s="151" t="s">
        <v>1742</v>
      </c>
      <c r="DB20" s="151" t="s">
        <v>1742</v>
      </c>
      <c r="DC20" s="151" t="s">
        <v>1742</v>
      </c>
      <c r="DD20" s="151" t="s">
        <v>1742</v>
      </c>
      <c r="DE20" s="151" t="s">
        <v>1742</v>
      </c>
      <c r="DF20" s="151" t="s">
        <v>1742</v>
      </c>
      <c r="DG20" s="151" t="s">
        <v>1742</v>
      </c>
      <c r="DH20" s="151" t="s">
        <v>1742</v>
      </c>
      <c r="DI20" s="151" t="s">
        <v>1742</v>
      </c>
      <c r="DJ20" s="151" t="s">
        <v>1742</v>
      </c>
      <c r="DK20" s="151" t="s">
        <v>1742</v>
      </c>
      <c r="DL20" s="151" t="s">
        <v>1742</v>
      </c>
      <c r="DM20" s="151" t="s">
        <v>1742</v>
      </c>
      <c r="DN20" s="151" t="s">
        <v>1742</v>
      </c>
      <c r="DO20" s="151" t="s">
        <v>1742</v>
      </c>
      <c r="DP20" s="151" t="s">
        <v>1742</v>
      </c>
      <c r="DQ20" s="151" t="s">
        <v>1742</v>
      </c>
      <c r="DR20" s="151" t="s">
        <v>1742</v>
      </c>
      <c r="DS20" s="151" t="s">
        <v>1742</v>
      </c>
      <c r="DT20" s="151" t="s">
        <v>1742</v>
      </c>
      <c r="DU20" s="151" t="s">
        <v>1742</v>
      </c>
      <c r="DV20" s="151" t="s">
        <v>1742</v>
      </c>
      <c r="DW20" s="151" t="s">
        <v>1742</v>
      </c>
      <c r="DX20" s="151" t="s">
        <v>1742</v>
      </c>
      <c r="DY20" s="151" t="s">
        <v>1742</v>
      </c>
      <c r="DZ20" s="151" t="s">
        <v>1742</v>
      </c>
      <c r="EA20" s="151" t="s">
        <v>1742</v>
      </c>
      <c r="EB20" s="151" t="s">
        <v>1742</v>
      </c>
      <c r="EC20" s="151" t="s">
        <v>1742</v>
      </c>
      <c r="ED20" s="151" t="s">
        <v>1742</v>
      </c>
      <c r="EE20" s="151" t="s">
        <v>1742</v>
      </c>
      <c r="EF20" s="151" t="s">
        <v>1742</v>
      </c>
      <c r="EG20" s="151" t="s">
        <v>1742</v>
      </c>
      <c r="EH20" s="151" t="s">
        <v>1742</v>
      </c>
      <c r="EI20" s="151" t="s">
        <v>1742</v>
      </c>
      <c r="EJ20" s="151" t="s">
        <v>1742</v>
      </c>
      <c r="EK20" s="151" t="s">
        <v>1742</v>
      </c>
      <c r="EL20" s="151" t="s">
        <v>1742</v>
      </c>
      <c r="EM20" s="151" t="s">
        <v>1742</v>
      </c>
      <c r="EN20" s="151" t="s">
        <v>1742</v>
      </c>
      <c r="EO20" s="151" t="s">
        <v>1742</v>
      </c>
      <c r="EP20" s="151" t="s">
        <v>1742</v>
      </c>
      <c r="EQ20" s="151" t="s">
        <v>1742</v>
      </c>
      <c r="ER20" s="161" t="s">
        <v>1753</v>
      </c>
      <c r="ES20" s="148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54"/>
      <c r="FH20" s="155"/>
      <c r="FI20" s="155"/>
      <c r="FJ20" s="155"/>
      <c r="FK20" s="155"/>
      <c r="FL20" s="155"/>
      <c r="FM20" s="155"/>
      <c r="FN20" s="155"/>
      <c r="FO20" s="155"/>
      <c r="FP20" s="155"/>
      <c r="FQ20" s="155"/>
      <c r="FR20" s="155"/>
      <c r="FS20" s="155"/>
      <c r="FT20" s="155"/>
      <c r="FU20" s="155"/>
      <c r="FV20" s="155"/>
      <c r="FW20" s="155"/>
    </row>
    <row r="21" spans="2:179" ht="12.75" customHeight="1" x14ac:dyDescent="0.25">
      <c r="B21" s="22" t="s">
        <v>1749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7" t="s">
        <v>2</v>
      </c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  <c r="BV21" s="67"/>
      <c r="BW21" s="67"/>
      <c r="BX21" s="67"/>
      <c r="BY21" s="67"/>
      <c r="BZ21" s="67"/>
      <c r="CA21" s="67"/>
      <c r="CB21" s="67"/>
      <c r="CC21" s="67"/>
      <c r="CD21" s="67"/>
      <c r="CE21" s="67" t="s">
        <v>1751</v>
      </c>
      <c r="CF21" s="152"/>
      <c r="CG21" s="151"/>
      <c r="CH21" s="151"/>
      <c r="CI21" s="151"/>
      <c r="CJ21" s="151"/>
      <c r="CK21" s="151"/>
      <c r="CL21" s="151"/>
      <c r="CM21" s="151"/>
      <c r="CN21" s="151"/>
      <c r="CO21" s="151"/>
      <c r="CP21" s="151"/>
      <c r="CQ21" s="151"/>
      <c r="CR21" s="151"/>
      <c r="CS21" s="151"/>
      <c r="CT21" s="151"/>
      <c r="CU21" s="151"/>
      <c r="CV21" s="151"/>
      <c r="CW21" s="151"/>
      <c r="CX21" s="151"/>
      <c r="CY21" s="151"/>
      <c r="CZ21" s="151"/>
      <c r="DA21" s="151"/>
      <c r="DB21" s="151"/>
      <c r="DC21" s="151"/>
      <c r="DD21" s="151"/>
      <c r="DE21" s="151"/>
      <c r="DF21" s="151"/>
      <c r="DG21" s="151"/>
      <c r="DH21" s="151"/>
      <c r="DI21" s="151"/>
      <c r="DJ21" s="151"/>
      <c r="DK21" s="151"/>
      <c r="DL21" s="151"/>
      <c r="DM21" s="151"/>
      <c r="DN21" s="151"/>
      <c r="DO21" s="151"/>
      <c r="DP21" s="151"/>
      <c r="DQ21" s="151"/>
      <c r="DR21" s="151"/>
      <c r="DS21" s="151"/>
      <c r="DT21" s="151"/>
      <c r="DU21" s="151"/>
      <c r="DV21" s="151"/>
      <c r="DW21" s="151"/>
      <c r="DX21" s="151"/>
      <c r="DY21" s="151"/>
      <c r="DZ21" s="151"/>
      <c r="EA21" s="151"/>
      <c r="EB21" s="151"/>
      <c r="EC21" s="151"/>
      <c r="ED21" s="151"/>
      <c r="EE21" s="151"/>
      <c r="EF21" s="151"/>
      <c r="EG21" s="151"/>
      <c r="EH21" s="151"/>
      <c r="EI21" s="151"/>
      <c r="EJ21" s="151"/>
      <c r="EK21" s="151"/>
      <c r="EL21" s="151"/>
      <c r="EM21" s="151"/>
      <c r="EN21" s="151"/>
      <c r="EO21" s="151"/>
      <c r="EP21" s="151"/>
      <c r="EQ21" s="151"/>
      <c r="ER21" s="161"/>
      <c r="ES21" s="148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54"/>
      <c r="FH21" s="155"/>
      <c r="FI21" s="155"/>
      <c r="FJ21" s="155"/>
      <c r="FK21" s="155"/>
      <c r="FL21" s="155"/>
      <c r="FM21" s="155"/>
      <c r="FN21" s="155"/>
      <c r="FO21" s="155"/>
      <c r="FP21" s="155"/>
      <c r="FQ21" s="155"/>
      <c r="FR21" s="155"/>
      <c r="FS21" s="155"/>
      <c r="FT21" s="155"/>
      <c r="FU21" s="155"/>
      <c r="FV21" s="155"/>
      <c r="FW21" s="155"/>
    </row>
    <row r="22" spans="2:179" ht="12.75" customHeight="1" x14ac:dyDescent="0.3">
      <c r="B22" t="s">
        <v>1765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87" t="s">
        <v>1769</v>
      </c>
      <c r="FC22" s="89" t="s">
        <v>1194</v>
      </c>
      <c r="FD22" s="89" t="s">
        <v>1194</v>
      </c>
      <c r="FE22" s="89" t="s">
        <v>1194</v>
      </c>
      <c r="FF22" s="89" t="s">
        <v>1194</v>
      </c>
      <c r="FG22" s="89" t="s">
        <v>1194</v>
      </c>
      <c r="FH22" s="155"/>
      <c r="FI22" s="155"/>
      <c r="FJ22" s="155"/>
      <c r="FK22" s="155"/>
      <c r="FL22" s="155"/>
      <c r="FM22" s="155"/>
      <c r="FN22" s="155"/>
      <c r="FO22" s="155"/>
      <c r="FP22" s="155"/>
      <c r="FQ22" s="155"/>
      <c r="FR22" s="155"/>
      <c r="FS22" s="155"/>
      <c r="FT22" s="155"/>
      <c r="FU22" s="155"/>
      <c r="FV22" s="155"/>
      <c r="FW22" s="155"/>
    </row>
    <row r="23" spans="2:179" ht="12.75" customHeight="1" x14ac:dyDescent="0.3">
      <c r="B23" t="s">
        <v>1767</v>
      </c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85" t="s">
        <v>2</v>
      </c>
      <c r="FC23" s="90" t="s">
        <v>396</v>
      </c>
      <c r="FD23" s="90" t="s">
        <v>396</v>
      </c>
      <c r="FE23" s="90" t="s">
        <v>396</v>
      </c>
      <c r="FF23" s="90" t="s">
        <v>396</v>
      </c>
      <c r="FG23" s="90" t="s">
        <v>396</v>
      </c>
      <c r="FH23" s="90" t="s">
        <v>396</v>
      </c>
      <c r="FI23" s="90" t="s">
        <v>396</v>
      </c>
      <c r="FJ23" s="90" t="s">
        <v>396</v>
      </c>
      <c r="FK23" s="90" t="s">
        <v>396</v>
      </c>
      <c r="FL23" s="90" t="s">
        <v>396</v>
      </c>
      <c r="FM23" s="90" t="s">
        <v>396</v>
      </c>
      <c r="FN23" s="90" t="s">
        <v>1727</v>
      </c>
      <c r="FO23" s="155"/>
      <c r="FP23" s="155"/>
      <c r="FQ23" s="155"/>
      <c r="FR23" s="155"/>
      <c r="FS23" s="155"/>
      <c r="FT23" s="155"/>
      <c r="FU23" s="155"/>
      <c r="FV23" s="155"/>
      <c r="FW23" s="155"/>
    </row>
    <row r="24" spans="2:179" ht="12.75" customHeight="1" x14ac:dyDescent="0.3">
      <c r="B24" t="s">
        <v>1764</v>
      </c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91" t="s">
        <v>2</v>
      </c>
      <c r="EV24" s="92" t="s">
        <v>398</v>
      </c>
      <c r="EW24" s="92" t="s">
        <v>398</v>
      </c>
      <c r="EX24" s="92" t="s">
        <v>398</v>
      </c>
      <c r="EY24" s="92" t="s">
        <v>398</v>
      </c>
      <c r="EZ24" s="92" t="s">
        <v>398</v>
      </c>
      <c r="FA24" s="92" t="s">
        <v>398</v>
      </c>
      <c r="FB24" s="92" t="s">
        <v>398</v>
      </c>
      <c r="FC24" s="92" t="s">
        <v>398</v>
      </c>
      <c r="FD24" s="92" t="s">
        <v>398</v>
      </c>
      <c r="FE24" s="92" t="s">
        <v>398</v>
      </c>
      <c r="FF24" s="92" t="s">
        <v>398</v>
      </c>
      <c r="FG24" s="92" t="s">
        <v>398</v>
      </c>
      <c r="FH24" s="92" t="s">
        <v>398</v>
      </c>
      <c r="FI24" s="92" t="s">
        <v>398</v>
      </c>
      <c r="FJ24" s="92" t="s">
        <v>398</v>
      </c>
      <c r="FK24" s="92" t="s">
        <v>398</v>
      </c>
      <c r="FL24" s="92" t="s">
        <v>398</v>
      </c>
      <c r="FM24" s="92" t="s">
        <v>398</v>
      </c>
      <c r="FN24" s="92" t="s">
        <v>398</v>
      </c>
      <c r="FO24" s="92" t="s">
        <v>398</v>
      </c>
      <c r="FP24" s="92" t="s">
        <v>398</v>
      </c>
      <c r="FQ24" s="92" t="s">
        <v>398</v>
      </c>
      <c r="FR24" s="92" t="s">
        <v>398</v>
      </c>
      <c r="FS24" s="92" t="s">
        <v>398</v>
      </c>
      <c r="FT24" s="92" t="s">
        <v>1727</v>
      </c>
      <c r="FU24" s="155"/>
      <c r="FV24" s="155"/>
      <c r="FW24" s="155"/>
    </row>
    <row r="25" spans="2:179" ht="12.75" customHeight="1" x14ac:dyDescent="0.3">
      <c r="B25" t="s">
        <v>1771</v>
      </c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  <c r="FK25" s="88" t="s">
        <v>2</v>
      </c>
      <c r="FL25" s="89" t="s">
        <v>83</v>
      </c>
      <c r="FM25" s="89" t="s">
        <v>83</v>
      </c>
      <c r="FN25" s="89" t="s">
        <v>83</v>
      </c>
      <c r="FO25" s="89" t="s">
        <v>83</v>
      </c>
      <c r="FP25" s="89" t="s">
        <v>83</v>
      </c>
      <c r="FQ25" s="89" t="s">
        <v>83</v>
      </c>
      <c r="FR25" s="89" t="s">
        <v>83</v>
      </c>
      <c r="FS25" s="89" t="s">
        <v>83</v>
      </c>
      <c r="FT25" s="89" t="s">
        <v>1727</v>
      </c>
      <c r="FU25" s="155"/>
      <c r="FV25" s="155"/>
      <c r="FW25" s="155"/>
    </row>
    <row r="26" spans="2:179" ht="12.75" customHeight="1" x14ac:dyDescent="0.3">
      <c r="B26" t="s">
        <v>1766</v>
      </c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76" t="s">
        <v>2</v>
      </c>
      <c r="EV26" s="82" t="s">
        <v>1763</v>
      </c>
      <c r="EW26" s="82" t="s">
        <v>1763</v>
      </c>
      <c r="EX26" s="82" t="s">
        <v>1763</v>
      </c>
      <c r="EY26" s="82" t="s">
        <v>1763</v>
      </c>
      <c r="EZ26" s="82" t="s">
        <v>1763</v>
      </c>
      <c r="FA26" s="82" t="s">
        <v>1763</v>
      </c>
      <c r="FB26" s="82" t="s">
        <v>1763</v>
      </c>
      <c r="FC26" s="82" t="s">
        <v>1763</v>
      </c>
      <c r="FD26" s="82" t="s">
        <v>1763</v>
      </c>
      <c r="FE26" s="82" t="s">
        <v>1763</v>
      </c>
      <c r="FF26" s="82" t="s">
        <v>1763</v>
      </c>
      <c r="FG26" s="82" t="s">
        <v>1763</v>
      </c>
      <c r="FH26" s="82" t="s">
        <v>1763</v>
      </c>
      <c r="FI26" s="82" t="s">
        <v>1763</v>
      </c>
      <c r="FJ26" s="82" t="s">
        <v>1763</v>
      </c>
      <c r="FK26" s="82" t="s">
        <v>1763</v>
      </c>
      <c r="FL26" s="82" t="s">
        <v>1763</v>
      </c>
      <c r="FM26" s="82" t="s">
        <v>1763</v>
      </c>
      <c r="FN26" s="82" t="s">
        <v>1763</v>
      </c>
      <c r="FO26" s="82" t="s">
        <v>1763</v>
      </c>
      <c r="FP26" s="82" t="s">
        <v>1763</v>
      </c>
      <c r="FQ26" s="82" t="s">
        <v>1763</v>
      </c>
      <c r="FR26" s="82" t="s">
        <v>1763</v>
      </c>
      <c r="FS26" s="82" t="s">
        <v>1763</v>
      </c>
      <c r="FT26" s="82" t="s">
        <v>1763</v>
      </c>
      <c r="FU26" s="82" t="s">
        <v>1727</v>
      </c>
      <c r="FV26" s="155"/>
      <c r="FW26" s="155"/>
    </row>
    <row r="27" spans="2:179" ht="12.75" customHeight="1" x14ac:dyDescent="0.25">
      <c r="B27" t="s">
        <v>1218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</row>
    <row r="28" spans="2:179" ht="12.75" customHeight="1" x14ac:dyDescent="0.25">
      <c r="B28" t="s">
        <v>1772</v>
      </c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</row>
    <row r="29" spans="2:179" ht="12.75" customHeight="1" x14ac:dyDescent="0.25">
      <c r="B29" t="s">
        <v>1240</v>
      </c>
    </row>
    <row r="30" spans="2:179" ht="12.75" customHeight="1" x14ac:dyDescent="0.25">
      <c r="B30" t="s">
        <v>1241</v>
      </c>
    </row>
    <row r="31" spans="2:179" ht="12.75" customHeight="1" x14ac:dyDescent="0.25">
      <c r="B31" t="s">
        <v>1690</v>
      </c>
    </row>
    <row r="32" spans="2:179" ht="12.75" customHeight="1" x14ac:dyDescent="0.25">
      <c r="B32" t="s">
        <v>1693</v>
      </c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</row>
    <row r="33" spans="2:179" ht="12.75" customHeight="1" x14ac:dyDescent="0.25">
      <c r="B33" t="s">
        <v>1204</v>
      </c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</row>
    <row r="34" spans="2:179" ht="12.75" customHeight="1" x14ac:dyDescent="0.25">
      <c r="B34" t="s">
        <v>1206</v>
      </c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</row>
    <row r="35" spans="2:179" ht="12.75" customHeight="1" x14ac:dyDescent="0.25">
      <c r="B35" t="s">
        <v>1229</v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</row>
    <row r="36" spans="2:179" ht="12.75" customHeight="1" x14ac:dyDescent="0.25">
      <c r="B36" t="s">
        <v>1691</v>
      </c>
      <c r="C36" s="62"/>
      <c r="D36" s="63" t="s">
        <v>1697</v>
      </c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3"/>
      <c r="BK36" s="63"/>
      <c r="BL36" s="63"/>
      <c r="BM36" s="63"/>
      <c r="BN36" s="63"/>
      <c r="BO36" s="63"/>
      <c r="BP36" s="63"/>
      <c r="BQ36" s="63"/>
      <c r="BR36" s="63"/>
      <c r="BS36" s="63"/>
      <c r="BT36" s="63"/>
      <c r="BU36" s="63"/>
      <c r="BV36" s="63"/>
      <c r="BW36" s="63"/>
      <c r="BX36" s="63"/>
      <c r="BY36" s="63"/>
      <c r="BZ36" s="63"/>
      <c r="CA36" s="63"/>
      <c r="CB36" s="63"/>
      <c r="CC36" s="63"/>
      <c r="CD36" s="63"/>
      <c r="CE36" s="63"/>
      <c r="CF36" s="63"/>
      <c r="CG36" s="63"/>
      <c r="CH36" s="63"/>
      <c r="CI36" s="63"/>
      <c r="CJ36" s="63"/>
      <c r="CK36" s="63"/>
      <c r="CL36" s="63"/>
      <c r="CM36" s="63"/>
      <c r="CN36" s="63"/>
      <c r="CO36" s="63"/>
      <c r="CP36" s="63"/>
      <c r="CQ36" s="63"/>
      <c r="CR36" s="63"/>
      <c r="CS36" s="63"/>
      <c r="CT36" s="63"/>
      <c r="CU36" s="63"/>
      <c r="CV36" s="63"/>
      <c r="CW36" s="63"/>
      <c r="CX36" s="63"/>
      <c r="CY36" s="63"/>
      <c r="CZ36" s="63"/>
      <c r="DA36" s="63"/>
      <c r="DB36" s="63"/>
      <c r="DC36" s="63"/>
      <c r="DD36" s="63"/>
      <c r="DE36" s="63"/>
      <c r="DF36" s="63"/>
      <c r="DG36" s="63"/>
      <c r="DH36" s="63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 t="s">
        <v>1695</v>
      </c>
      <c r="DU36" s="135" t="s">
        <v>1256</v>
      </c>
      <c r="DV36" s="136"/>
      <c r="DW36" s="136"/>
      <c r="DX36" s="136"/>
      <c r="DY36" s="136"/>
      <c r="DZ36" s="136"/>
      <c r="EA36" s="136"/>
      <c r="EB36" s="136"/>
      <c r="EC36" s="136"/>
      <c r="ED36" s="64"/>
      <c r="EE36" s="64"/>
      <c r="EF36" s="64"/>
      <c r="EG36" s="64"/>
      <c r="EH36" s="64"/>
      <c r="EI36" s="64"/>
      <c r="EJ36" s="64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  <c r="FK36" s="62"/>
      <c r="FL36" s="62"/>
      <c r="FM36" s="62"/>
      <c r="FN36" s="62"/>
      <c r="FO36" s="62"/>
      <c r="FP36" s="62"/>
      <c r="FQ36" s="62"/>
      <c r="FR36" s="62"/>
      <c r="FS36" s="62"/>
      <c r="FT36" s="62"/>
      <c r="FU36" s="62"/>
      <c r="FV36" s="62"/>
      <c r="FW36" s="62"/>
    </row>
    <row r="37" spans="2:179" ht="12.75" customHeight="1" x14ac:dyDescent="0.25">
      <c r="B37" t="s">
        <v>1692</v>
      </c>
      <c r="C37" s="64" t="s">
        <v>1696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 t="s">
        <v>1698</v>
      </c>
      <c r="DU37" s="135"/>
      <c r="DV37" s="136"/>
      <c r="DW37" s="136"/>
      <c r="DX37" s="136"/>
      <c r="DY37" s="136"/>
      <c r="DZ37" s="136"/>
      <c r="EA37" s="136"/>
      <c r="EB37" s="136"/>
      <c r="EC37" s="136"/>
      <c r="ED37" s="64"/>
      <c r="EE37" s="64"/>
      <c r="EF37" s="64"/>
      <c r="EG37" s="64"/>
      <c r="EH37" s="64"/>
      <c r="EI37" s="64"/>
      <c r="EJ37" s="64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  <c r="FK37" s="62"/>
      <c r="FL37" s="62"/>
      <c r="FM37" s="62"/>
      <c r="FN37" s="62"/>
      <c r="FO37" s="62"/>
      <c r="FP37" s="62"/>
      <c r="FQ37" s="62"/>
      <c r="FR37" s="62"/>
      <c r="FS37" s="62"/>
      <c r="FT37" s="62"/>
      <c r="FU37" s="62"/>
      <c r="FV37" s="62"/>
      <c r="FW37" s="62"/>
    </row>
    <row r="38" spans="2:179" x14ac:dyDescent="0.25">
      <c r="B38" t="s">
        <v>16</v>
      </c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</row>
    <row r="39" spans="2:179" ht="13" x14ac:dyDescent="0.3">
      <c r="B39" t="s">
        <v>1694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5" t="s">
        <v>2</v>
      </c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FB39" s="43" t="s">
        <v>1770</v>
      </c>
    </row>
    <row r="40" spans="2:179" x14ac:dyDescent="0.25">
      <c r="B40" t="s">
        <v>43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8" t="s">
        <v>2</v>
      </c>
      <c r="EL40" s="68"/>
      <c r="EM40" s="68"/>
      <c r="EN40" s="68"/>
      <c r="EO40" s="68"/>
      <c r="EP40" s="68"/>
      <c r="EQ40" s="68"/>
      <c r="ER40" s="68"/>
      <c r="ES40" s="68"/>
      <c r="ET40" s="68"/>
      <c r="EU40" s="68"/>
      <c r="EV40" s="68"/>
      <c r="EW40" s="68"/>
      <c r="EX40" s="68"/>
      <c r="EY40" s="68"/>
      <c r="EZ40" s="68"/>
      <c r="FA40" s="68"/>
      <c r="FB40" s="68"/>
      <c r="FC40" s="68"/>
      <c r="FD40" s="68"/>
      <c r="FE40" s="68"/>
      <c r="FF40" s="68"/>
      <c r="FG40" s="68"/>
      <c r="FH40" s="68"/>
      <c r="FI40" s="68"/>
      <c r="FJ40" s="68"/>
      <c r="FK40" s="68"/>
      <c r="FL40" s="68"/>
      <c r="FM40" s="68"/>
      <c r="FN40" s="68"/>
      <c r="FO40" s="68"/>
      <c r="FP40" s="68"/>
      <c r="FQ40" s="68"/>
      <c r="FR40" s="68"/>
      <c r="FS40" s="68"/>
      <c r="FT40" s="68"/>
      <c r="FU40" s="68"/>
      <c r="FV40" s="68"/>
      <c r="FW40" s="68"/>
    </row>
    <row r="41" spans="2:179" x14ac:dyDescent="0.25">
      <c r="B41" t="s">
        <v>31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t="s">
        <v>2</v>
      </c>
    </row>
    <row r="42" spans="2:179" x14ac:dyDescent="0.25">
      <c r="B42" t="s">
        <v>1214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t="s">
        <v>2</v>
      </c>
    </row>
    <row r="43" spans="2:179" x14ac:dyDescent="0.25">
      <c r="B43" t="s">
        <v>20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t="s">
        <v>2</v>
      </c>
    </row>
    <row r="44" spans="2:179" x14ac:dyDescent="0.25">
      <c r="B44" t="s">
        <v>1699</v>
      </c>
      <c r="C44" s="62"/>
      <c r="D44" s="62"/>
      <c r="E44" s="62"/>
      <c r="F44" s="62"/>
      <c r="G44" s="62"/>
      <c r="H44" s="62"/>
      <c r="I44" s="62"/>
      <c r="J44" s="62"/>
      <c r="K44" s="62"/>
      <c r="L44" s="67" t="s">
        <v>2</v>
      </c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 t="s">
        <v>1704</v>
      </c>
      <c r="EN44" s="140" t="s">
        <v>1706</v>
      </c>
      <c r="EO44" s="137"/>
      <c r="EP44" s="137"/>
      <c r="EQ44" s="140" t="s">
        <v>1706</v>
      </c>
      <c r="ER44" s="137"/>
      <c r="ES44" s="137"/>
      <c r="ET44" s="137"/>
      <c r="EU44" s="140" t="s">
        <v>1706</v>
      </c>
      <c r="EV44" s="137"/>
      <c r="EW44" s="137"/>
      <c r="EX44" s="137"/>
      <c r="EY44" s="137"/>
      <c r="EZ44" s="137"/>
    </row>
    <row r="45" spans="2:179" x14ac:dyDescent="0.25">
      <c r="B45" t="s">
        <v>29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6" t="s">
        <v>1700</v>
      </c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 t="s">
        <v>1702</v>
      </c>
      <c r="BA45" s="66" t="s">
        <v>1701</v>
      </c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 t="s">
        <v>1703</v>
      </c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7" t="s">
        <v>1705</v>
      </c>
      <c r="EN45" s="140"/>
      <c r="EO45" s="137"/>
      <c r="EP45" s="137"/>
      <c r="EQ45" s="140"/>
      <c r="ER45" s="137"/>
      <c r="ES45" s="137"/>
      <c r="ET45" s="137"/>
      <c r="EU45" s="140"/>
      <c r="EV45" s="137"/>
      <c r="EW45" s="137"/>
      <c r="EX45" s="137"/>
      <c r="EY45" s="137"/>
      <c r="EZ45" s="137"/>
    </row>
    <row r="46" spans="2:179" x14ac:dyDescent="0.25">
      <c r="B46" t="s">
        <v>33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9" t="s">
        <v>1722</v>
      </c>
      <c r="DX46" s="69"/>
      <c r="DY46" s="69"/>
      <c r="DZ46" s="69"/>
      <c r="EA46" s="69"/>
      <c r="EB46" s="69"/>
      <c r="EC46" s="69"/>
      <c r="ED46" s="69"/>
      <c r="EE46" s="69"/>
      <c r="EF46" s="69"/>
      <c r="EG46" s="69"/>
      <c r="EH46" s="69"/>
      <c r="EI46" s="69"/>
      <c r="EJ46" s="69"/>
      <c r="EK46" s="69"/>
      <c r="EL46" s="69"/>
      <c r="EM46" s="69"/>
      <c r="EN46" s="69"/>
      <c r="EO46" s="69"/>
      <c r="EP46" s="69"/>
      <c r="EQ46" s="69"/>
      <c r="ER46" s="69"/>
      <c r="ES46" s="69"/>
      <c r="ET46" s="69"/>
      <c r="EU46" s="69"/>
      <c r="EV46" s="69"/>
      <c r="EW46" s="69"/>
      <c r="EX46" s="141" t="s">
        <v>1723</v>
      </c>
      <c r="EY46" s="141"/>
      <c r="EZ46" s="141" t="s">
        <v>1723</v>
      </c>
      <c r="FA46" s="141"/>
      <c r="FB46" s="141" t="s">
        <v>1723</v>
      </c>
      <c r="FC46" s="141"/>
    </row>
    <row r="47" spans="2:179" x14ac:dyDescent="0.25">
      <c r="B47" t="s">
        <v>1714</v>
      </c>
      <c r="C47" s="64" t="s">
        <v>1715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 t="s">
        <v>1717</v>
      </c>
      <c r="DU47" s="138" t="s">
        <v>1712</v>
      </c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39"/>
      <c r="EL47" s="139"/>
      <c r="EM47" s="139"/>
      <c r="EN47" s="139"/>
      <c r="EO47" s="139"/>
      <c r="EP47" s="139"/>
      <c r="EQ47" s="139"/>
      <c r="ER47" s="139"/>
      <c r="ES47" s="139"/>
      <c r="ET47" s="139"/>
      <c r="EU47" s="139"/>
      <c r="EV47" s="139"/>
      <c r="EW47" s="142" t="s">
        <v>1719</v>
      </c>
      <c r="EX47" s="141"/>
      <c r="EY47" s="141"/>
      <c r="EZ47" s="141"/>
      <c r="FA47" s="141"/>
      <c r="FB47" s="141"/>
      <c r="FC47" s="141"/>
    </row>
    <row r="48" spans="2:179" x14ac:dyDescent="0.25">
      <c r="B48" t="s">
        <v>1716</v>
      </c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8" t="s">
        <v>2</v>
      </c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 t="s">
        <v>1718</v>
      </c>
      <c r="DU48" s="138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39"/>
      <c r="EL48" s="139"/>
      <c r="EM48" s="139"/>
      <c r="EN48" s="139"/>
      <c r="EO48" s="139"/>
      <c r="EP48" s="139"/>
      <c r="EQ48" s="139"/>
      <c r="ER48" s="139"/>
      <c r="ES48" s="139"/>
      <c r="ET48" s="139"/>
      <c r="EU48" s="139"/>
      <c r="EV48" s="139"/>
      <c r="EW48" s="142"/>
      <c r="EX48" s="141"/>
      <c r="EY48" s="141"/>
      <c r="EZ48" s="141"/>
      <c r="FA48" s="141"/>
      <c r="FB48" s="141"/>
      <c r="FC48" s="141"/>
    </row>
    <row r="49" spans="2:77" x14ac:dyDescent="0.25">
      <c r="B49" t="s">
        <v>1708</v>
      </c>
    </row>
    <row r="50" spans="2:77" x14ac:dyDescent="0.25">
      <c r="B50" t="s">
        <v>1709</v>
      </c>
    </row>
    <row r="51" spans="2:77" x14ac:dyDescent="0.25">
      <c r="B51" t="s">
        <v>1710</v>
      </c>
    </row>
    <row r="52" spans="2:77" x14ac:dyDescent="0.25">
      <c r="B52" t="s">
        <v>1711</v>
      </c>
    </row>
    <row r="53" spans="2:77" x14ac:dyDescent="0.25">
      <c r="B53" t="s">
        <v>1713</v>
      </c>
    </row>
    <row r="54" spans="2:77" x14ac:dyDescent="0.25">
      <c r="B54" t="s">
        <v>1720</v>
      </c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t="s">
        <v>2</v>
      </c>
    </row>
    <row r="55" spans="2:77" x14ac:dyDescent="0.25">
      <c r="B55" t="s">
        <v>1721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t="s">
        <v>2</v>
      </c>
    </row>
    <row r="56" spans="2:77" x14ac:dyDescent="0.25">
      <c r="B56" t="s">
        <v>18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t="s">
        <v>2</v>
      </c>
    </row>
    <row r="57" spans="2:77" x14ac:dyDescent="0.25">
      <c r="B57" t="s">
        <v>1249</v>
      </c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</row>
    <row r="58" spans="2:77" x14ac:dyDescent="0.25">
      <c r="B58" t="s">
        <v>1246</v>
      </c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</row>
    <row r="59" spans="2:77" x14ac:dyDescent="0.25">
      <c r="B59" t="s">
        <v>23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t="s">
        <v>2</v>
      </c>
    </row>
    <row r="60" spans="2:77" x14ac:dyDescent="0.25">
      <c r="B60" t="s">
        <v>59</v>
      </c>
    </row>
    <row r="61" spans="2:77" x14ac:dyDescent="0.25">
      <c r="B61" t="s">
        <v>1253</v>
      </c>
    </row>
    <row r="62" spans="2:77" x14ac:dyDescent="0.25">
      <c r="B62" t="s">
        <v>1232</v>
      </c>
    </row>
    <row r="63" spans="2:77" x14ac:dyDescent="0.25">
      <c r="B63" t="s">
        <v>1231</v>
      </c>
    </row>
    <row r="64" spans="2:77" x14ac:dyDescent="0.25">
      <c r="B64" t="s">
        <v>251</v>
      </c>
    </row>
    <row r="65" spans="2:120" x14ac:dyDescent="0.25">
      <c r="B65" t="s">
        <v>49</v>
      </c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</row>
    <row r="66" spans="2:120" x14ac:dyDescent="0.25">
      <c r="B66" t="s">
        <v>259</v>
      </c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</row>
  </sheetData>
  <mergeCells count="293">
    <mergeCell ref="FU7:FU25"/>
    <mergeCell ref="FV7:FV26"/>
    <mergeCell ref="FW7:FW26"/>
    <mergeCell ref="FO7:FO23"/>
    <mergeCell ref="FP7:FP23"/>
    <mergeCell ref="FQ7:FQ23"/>
    <mergeCell ref="FR7:FR23"/>
    <mergeCell ref="FS7:FS23"/>
    <mergeCell ref="FT7:FT23"/>
    <mergeCell ref="FJ7:FJ22"/>
    <mergeCell ref="FK7:FK22"/>
    <mergeCell ref="FL7:FL22"/>
    <mergeCell ref="FM7:FM22"/>
    <mergeCell ref="EQ16:EQ19"/>
    <mergeCell ref="ER16:ER19"/>
    <mergeCell ref="EX7:EX11"/>
    <mergeCell ref="EY7:EY11"/>
    <mergeCell ref="EZ7:EZ11"/>
    <mergeCell ref="FA7:FA11"/>
    <mergeCell ref="FB16:FB21"/>
    <mergeCell ref="ES16:ES21"/>
    <mergeCell ref="ET16:ET21"/>
    <mergeCell ref="EU16:EU21"/>
    <mergeCell ref="EV16:EV21"/>
    <mergeCell ref="ER20:ER21"/>
    <mergeCell ref="FB7:FB15"/>
    <mergeCell ref="EW9:EW10"/>
    <mergeCell ref="EY12:EY15"/>
    <mergeCell ref="EZ12:EZ15"/>
    <mergeCell ref="FA12:FA15"/>
    <mergeCell ref="ET13:ET15"/>
    <mergeCell ref="FF7:FF15"/>
    <mergeCell ref="FG7:FG15"/>
    <mergeCell ref="EW16:EW21"/>
    <mergeCell ref="EX16:EX21"/>
    <mergeCell ref="EY16:EY21"/>
    <mergeCell ref="EZ16:EZ21"/>
    <mergeCell ref="FA16:FA21"/>
    <mergeCell ref="FH7:FH22"/>
    <mergeCell ref="FI7:FI22"/>
    <mergeCell ref="EP16:EP18"/>
    <mergeCell ref="EE16:EE18"/>
    <mergeCell ref="EF16:EF18"/>
    <mergeCell ref="EG16:EG18"/>
    <mergeCell ref="EH16:EH18"/>
    <mergeCell ref="EI16:EI18"/>
    <mergeCell ref="EJ16:EJ18"/>
    <mergeCell ref="EP9:EP10"/>
    <mergeCell ref="EQ9:EQ10"/>
    <mergeCell ref="ER9:ER10"/>
    <mergeCell ref="ES9:ES10"/>
    <mergeCell ref="ET9:ET10"/>
    <mergeCell ref="EU9:EU10"/>
    <mergeCell ref="EJ9:EJ10"/>
    <mergeCell ref="EK9:EK10"/>
    <mergeCell ref="EL9:EL10"/>
    <mergeCell ref="EM9:EM10"/>
    <mergeCell ref="FN7:FN22"/>
    <mergeCell ref="DF13:DF14"/>
    <mergeCell ref="DG13:DG14"/>
    <mergeCell ref="DH13:DH14"/>
    <mergeCell ref="DI13:DI14"/>
    <mergeCell ref="DJ13:DJ14"/>
    <mergeCell ref="DK13:DK14"/>
    <mergeCell ref="DL13:DL14"/>
    <mergeCell ref="DM13:DM14"/>
    <mergeCell ref="FC16:FC21"/>
    <mergeCell ref="FD16:FD21"/>
    <mergeCell ref="FE16:FE21"/>
    <mergeCell ref="FF16:FF21"/>
    <mergeCell ref="FG16:FG21"/>
    <mergeCell ref="FC7:FC15"/>
    <mergeCell ref="FD7:FD15"/>
    <mergeCell ref="FE7:FE15"/>
    <mergeCell ref="DY16:DY18"/>
    <mergeCell ref="DZ16:DZ18"/>
    <mergeCell ref="EA16:EA18"/>
    <mergeCell ref="EB16:EB18"/>
    <mergeCell ref="EC16:EC18"/>
    <mergeCell ref="ED16:ED18"/>
    <mergeCell ref="DS16:DS18"/>
    <mergeCell ref="DT16:DT18"/>
    <mergeCell ref="DU16:DU18"/>
    <mergeCell ref="DV16:DV18"/>
    <mergeCell ref="DW16:DW18"/>
    <mergeCell ref="DX16:DX18"/>
    <mergeCell ref="DN16:DN18"/>
    <mergeCell ref="DO16:DO18"/>
    <mergeCell ref="DP16:DP18"/>
    <mergeCell ref="DQ16:DQ18"/>
    <mergeCell ref="DR16:DR18"/>
    <mergeCell ref="DG16:DG18"/>
    <mergeCell ref="DH16:DH18"/>
    <mergeCell ref="DI16:DI18"/>
    <mergeCell ref="DJ16:DJ18"/>
    <mergeCell ref="DK16:DK18"/>
    <mergeCell ref="DL16:DL18"/>
    <mergeCell ref="DE16:DE18"/>
    <mergeCell ref="DF16:DF18"/>
    <mergeCell ref="CU16:CU18"/>
    <mergeCell ref="CV16:CV18"/>
    <mergeCell ref="CW16:CW18"/>
    <mergeCell ref="CX16:CX18"/>
    <mergeCell ref="CY16:CY18"/>
    <mergeCell ref="CZ16:CZ18"/>
    <mergeCell ref="DD16:DD18"/>
    <mergeCell ref="DM16:DM18"/>
    <mergeCell ref="CS16:CS17"/>
    <mergeCell ref="CT16:CT18"/>
    <mergeCell ref="EO20:EO21"/>
    <mergeCell ref="EP20:EP21"/>
    <mergeCell ref="EQ20:EQ21"/>
    <mergeCell ref="EL20:EL21"/>
    <mergeCell ref="EM20:EM21"/>
    <mergeCell ref="EN20:EN21"/>
    <mergeCell ref="DT20:DT21"/>
    <mergeCell ref="DU20:DU21"/>
    <mergeCell ref="DV20:DV21"/>
    <mergeCell ref="DK20:DK21"/>
    <mergeCell ref="DL20:DL21"/>
    <mergeCell ref="DM20:DM21"/>
    <mergeCell ref="DN20:DN21"/>
    <mergeCell ref="DO20:DO21"/>
    <mergeCell ref="DP20:DP21"/>
    <mergeCell ref="DE20:DE21"/>
    <mergeCell ref="DF20:DF21"/>
    <mergeCell ref="DG20:DG21"/>
    <mergeCell ref="DA16:DA18"/>
    <mergeCell ref="DB16:DB18"/>
    <mergeCell ref="DC16:DC18"/>
    <mergeCell ref="CM16:CM17"/>
    <mergeCell ref="CN16:CN17"/>
    <mergeCell ref="EI20:EI21"/>
    <mergeCell ref="EJ20:EJ21"/>
    <mergeCell ref="EK20:EK21"/>
    <mergeCell ref="EC20:EC21"/>
    <mergeCell ref="ED20:ED21"/>
    <mergeCell ref="EE20:EE21"/>
    <mergeCell ref="EF20:EF21"/>
    <mergeCell ref="EG20:EG21"/>
    <mergeCell ref="EH20:EH21"/>
    <mergeCell ref="DW20:DW21"/>
    <mergeCell ref="DX20:DX21"/>
    <mergeCell ref="DY20:DY21"/>
    <mergeCell ref="DZ20:DZ21"/>
    <mergeCell ref="EA20:EA21"/>
    <mergeCell ref="EB20:EB21"/>
    <mergeCell ref="DQ20:DQ21"/>
    <mergeCell ref="DR20:DR21"/>
    <mergeCell ref="DS20:DS21"/>
    <mergeCell ref="CO16:CO17"/>
    <mergeCell ref="CP16:CP17"/>
    <mergeCell ref="CQ16:CQ17"/>
    <mergeCell ref="CR16:CR17"/>
    <mergeCell ref="DH20:DH21"/>
    <mergeCell ref="DI20:DI21"/>
    <mergeCell ref="DJ20:DJ21"/>
    <mergeCell ref="CY20:CY21"/>
    <mergeCell ref="CZ20:CZ21"/>
    <mergeCell ref="DA20:DA21"/>
    <mergeCell ref="DB20:DB21"/>
    <mergeCell ref="DC20:DC21"/>
    <mergeCell ref="DD20:DD21"/>
    <mergeCell ref="CS20:CS21"/>
    <mergeCell ref="CT20:CT21"/>
    <mergeCell ref="CU20:CU21"/>
    <mergeCell ref="CV20:CV21"/>
    <mergeCell ref="CW20:CW21"/>
    <mergeCell ref="CX20:CX21"/>
    <mergeCell ref="CM20:CM21"/>
    <mergeCell ref="CN20:CN21"/>
    <mergeCell ref="CO20:CO21"/>
    <mergeCell ref="CP20:CP21"/>
    <mergeCell ref="CQ20:CQ21"/>
    <mergeCell ref="CR20:CR21"/>
    <mergeCell ref="CG16:CG17"/>
    <mergeCell ref="CH16:CH17"/>
    <mergeCell ref="CG20:CG21"/>
    <mergeCell ref="CF20:CF21"/>
    <mergeCell ref="CH20:CH21"/>
    <mergeCell ref="CI20:CI21"/>
    <mergeCell ref="CJ20:CJ21"/>
    <mergeCell ref="CK20:CK21"/>
    <mergeCell ref="CL20:CL21"/>
    <mergeCell ref="CI16:CI17"/>
    <mergeCell ref="CJ16:CJ17"/>
    <mergeCell ref="CK16:CK17"/>
    <mergeCell ref="CL16:CL17"/>
    <mergeCell ref="EN9:EN10"/>
    <mergeCell ref="EO9:EO10"/>
    <mergeCell ref="EU13:EU15"/>
    <mergeCell ref="EV13:EV15"/>
    <mergeCell ref="EW13:EW15"/>
    <mergeCell ref="EX12:EX15"/>
    <mergeCell ref="ET7:ET8"/>
    <mergeCell ref="EU7:EU8"/>
    <mergeCell ref="EV7:EV8"/>
    <mergeCell ref="EW7:EW8"/>
    <mergeCell ref="EV9:EV10"/>
    <mergeCell ref="EP13:EP15"/>
    <mergeCell ref="EQ13:EQ15"/>
    <mergeCell ref="ER13:ER15"/>
    <mergeCell ref="ES13:ES15"/>
    <mergeCell ref="EN13:EN15"/>
    <mergeCell ref="EO13:EO15"/>
    <mergeCell ref="EH13:EH15"/>
    <mergeCell ref="EI13:EI15"/>
    <mergeCell ref="EJ13:EJ15"/>
    <mergeCell ref="EK13:EK15"/>
    <mergeCell ref="EL13:EL15"/>
    <mergeCell ref="EM13:EM15"/>
    <mergeCell ref="DX13:DX15"/>
    <mergeCell ref="DY13:DY15"/>
    <mergeCell ref="DZ13:DZ15"/>
    <mergeCell ref="EA13:EA15"/>
    <mergeCell ref="EB13:EB15"/>
    <mergeCell ref="EC13:EC15"/>
    <mergeCell ref="ED13:ED15"/>
    <mergeCell ref="EE13:EE15"/>
    <mergeCell ref="EF13:EF15"/>
    <mergeCell ref="EG13:EG15"/>
    <mergeCell ref="DU13:DU15"/>
    <mergeCell ref="DV13:DV15"/>
    <mergeCell ref="DW13:DW15"/>
    <mergeCell ref="DR13:DR14"/>
    <mergeCell ref="DS13:DS14"/>
    <mergeCell ref="DT13:DT14"/>
    <mergeCell ref="DN13:DN14"/>
    <mergeCell ref="DO13:DO14"/>
    <mergeCell ref="DP13:DP14"/>
    <mergeCell ref="DQ13:DQ14"/>
    <mergeCell ref="EB47:EB48"/>
    <mergeCell ref="FA46:FA48"/>
    <mergeCell ref="FB46:FB48"/>
    <mergeCell ref="FC46:FC48"/>
    <mergeCell ref="ER47:ER48"/>
    <mergeCell ref="ES47:ES48"/>
    <mergeCell ref="ET47:ET48"/>
    <mergeCell ref="EU47:EU48"/>
    <mergeCell ref="EV47:EV48"/>
    <mergeCell ref="EW47:EW48"/>
    <mergeCell ref="EX46:EX48"/>
    <mergeCell ref="EY46:EY48"/>
    <mergeCell ref="EL47:EL48"/>
    <mergeCell ref="EM47:EM48"/>
    <mergeCell ref="EN47:EN48"/>
    <mergeCell ref="EO47:EO48"/>
    <mergeCell ref="EP47:EP48"/>
    <mergeCell ref="EQ47:EQ48"/>
    <mergeCell ref="EF47:EF48"/>
    <mergeCell ref="EG47:EG48"/>
    <mergeCell ref="EH47:EH48"/>
    <mergeCell ref="EI47:EI48"/>
    <mergeCell ref="EJ47:EJ48"/>
    <mergeCell ref="EK47:EK48"/>
    <mergeCell ref="EV44:EV45"/>
    <mergeCell ref="EW44:EW45"/>
    <mergeCell ref="EX44:EX45"/>
    <mergeCell ref="EY44:EY45"/>
    <mergeCell ref="EZ44:EZ45"/>
    <mergeCell ref="DU47:DU48"/>
    <mergeCell ref="DV47:DV48"/>
    <mergeCell ref="DW47:DW48"/>
    <mergeCell ref="DX47:DX48"/>
    <mergeCell ref="DY47:DY48"/>
    <mergeCell ref="EP44:EP45"/>
    <mergeCell ref="EQ44:EQ45"/>
    <mergeCell ref="ER44:ER45"/>
    <mergeCell ref="ES44:ES45"/>
    <mergeCell ref="ET44:ET45"/>
    <mergeCell ref="EU44:EU45"/>
    <mergeCell ref="EZ46:EZ48"/>
    <mergeCell ref="EN44:EN45"/>
    <mergeCell ref="EO44:EO45"/>
    <mergeCell ref="EC47:EC48"/>
    <mergeCell ref="ED47:ED48"/>
    <mergeCell ref="EE47:EE48"/>
    <mergeCell ref="DZ47:DZ48"/>
    <mergeCell ref="EA47:EA48"/>
    <mergeCell ref="EK16:EK18"/>
    <mergeCell ref="EL16:EL18"/>
    <mergeCell ref="EM16:EM18"/>
    <mergeCell ref="EN16:EN18"/>
    <mergeCell ref="EO16:EO18"/>
    <mergeCell ref="DU36:DU37"/>
    <mergeCell ref="DV36:DV37"/>
    <mergeCell ref="DW36:DW37"/>
    <mergeCell ref="DX36:DX37"/>
    <mergeCell ref="DY36:DY37"/>
    <mergeCell ref="DZ36:DZ37"/>
    <mergeCell ref="EA36:EA37"/>
    <mergeCell ref="EB36:EB37"/>
    <mergeCell ref="EC36:EC3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740C-53EB-498E-9A8B-9D5A98F98362}">
  <dimension ref="A1:B4"/>
  <sheetViews>
    <sheetView zoomScale="145" zoomScaleNormal="145" workbookViewId="0">
      <selection activeCell="A3" sqref="A3"/>
    </sheetView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5" t="s">
        <v>282</v>
      </c>
    </row>
    <row r="2" spans="1:2" x14ac:dyDescent="0.25">
      <c r="B2" t="s">
        <v>1255</v>
      </c>
    </row>
    <row r="3" spans="1:2" x14ac:dyDescent="0.25">
      <c r="B3" t="s">
        <v>988</v>
      </c>
    </row>
    <row r="4" spans="1:2" x14ac:dyDescent="0.25">
      <c r="B4" t="s">
        <v>424</v>
      </c>
    </row>
  </sheetData>
  <hyperlinks>
    <hyperlink ref="A1" location="Main!A1" display="Main" xr:uid="{3F46029C-6209-4AF2-8CDB-1F9664685C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Main</vt:lpstr>
      <vt:lpstr>China</vt:lpstr>
      <vt:lpstr>Drugs</vt:lpstr>
      <vt:lpstr>Industry Model</vt:lpstr>
      <vt:lpstr>Todo</vt:lpstr>
      <vt:lpstr>Launches</vt:lpstr>
      <vt:lpstr>FX</vt:lpstr>
      <vt:lpstr>Private</vt:lpstr>
      <vt:lpstr>Funds</vt:lpstr>
      <vt:lpstr>Acquisitions</vt:lpstr>
      <vt:lpstr>Mergers</vt:lpstr>
      <vt:lpstr>Bankruptcies</vt:lpstr>
      <vt:lpstr>AUD</vt:lpstr>
      <vt:lpstr>CHF</vt:lpstr>
      <vt:lpstr>CNY</vt:lpstr>
      <vt:lpstr>DKK</vt:lpstr>
      <vt:lpstr>EUR</vt:lpstr>
      <vt:lpstr>GBP</vt:lpstr>
      <vt:lpstr>HKD</vt:lpstr>
      <vt:lpstr>INR</vt:lpstr>
      <vt:lpstr>JPY</vt:lpstr>
      <vt:lpstr>KRW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2022-07-16T21:25:10Z</dcterms:created>
  <dcterms:modified xsi:type="dcterms:W3CDTF">2026-08-17T11:43:31Z</dcterms:modified>
</cp:coreProperties>
</file>