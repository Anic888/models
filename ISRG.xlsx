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E315624-05C1-4CF9-A263-54E0C07B6869}" xr6:coauthVersionLast="47" xr6:coauthVersionMax="47" xr10:uidLastSave="{00000000-0000-0000-0000-000000000000}"/>
  <bookViews>
    <workbookView xWindow="14160" yWindow="3220" windowWidth="22360" windowHeight="16580" activeTab="1" xr2:uid="{D8B15F24-6D45-44B2-A85E-EC94F1E325F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V8" i="2" l="1"/>
  <c r="AV6" i="2"/>
  <c r="AV5" i="2"/>
  <c r="AU5" i="2"/>
  <c r="AU6" i="2"/>
  <c r="AU8" i="2"/>
  <c r="AT8" i="2"/>
  <c r="AT7" i="2"/>
  <c r="AT6" i="2"/>
  <c r="AT5" i="2"/>
  <c r="AS8" i="2"/>
  <c r="AS7" i="2"/>
  <c r="AS6" i="2"/>
  <c r="AS5" i="2"/>
  <c r="AR21" i="2"/>
  <c r="AR18" i="2"/>
  <c r="AR16" i="2"/>
  <c r="AR13" i="2"/>
  <c r="AR12" i="2"/>
  <c r="AR11" i="2"/>
  <c r="AR10" i="2"/>
  <c r="AR8" i="2"/>
  <c r="AR6" i="2"/>
  <c r="AR5" i="2"/>
  <c r="AQ21" i="2"/>
  <c r="AQ18" i="2"/>
  <c r="AQ16" i="2"/>
  <c r="AQ13" i="2"/>
  <c r="AQ12" i="2"/>
  <c r="AQ11" i="2"/>
  <c r="AQ10" i="2"/>
  <c r="AQ8" i="2"/>
  <c r="AQ6" i="2"/>
  <c r="AQ5" i="2"/>
  <c r="AP5" i="2"/>
  <c r="K5" i="1"/>
  <c r="AD21" i="2"/>
  <c r="AC21" i="2"/>
  <c r="AD19" i="2"/>
  <c r="AC19" i="2"/>
  <c r="AD18" i="2"/>
  <c r="AC18" i="2"/>
  <c r="AD16" i="2"/>
  <c r="AC16" i="2"/>
  <c r="AD10" i="2"/>
  <c r="AC10" i="2"/>
  <c r="AD11" i="2"/>
  <c r="AC11" i="2"/>
  <c r="AD7" i="2"/>
  <c r="AC7" i="2"/>
  <c r="AD6" i="2"/>
  <c r="AC6" i="2"/>
  <c r="AD5" i="2"/>
  <c r="AC5" i="2"/>
  <c r="AD8" i="2"/>
  <c r="AC8" i="2"/>
  <c r="AD14" i="2"/>
  <c r="AD15" i="2" s="1"/>
  <c r="AD17" i="2" s="1"/>
  <c r="AD25" i="2" s="1"/>
  <c r="AC14" i="2"/>
  <c r="AC15" i="2" s="1"/>
  <c r="AC17" i="2" s="1"/>
  <c r="AC25" i="2" s="1"/>
  <c r="AD20" i="2"/>
  <c r="AC20" i="2"/>
  <c r="Y11" i="2"/>
  <c r="Y7" i="2"/>
  <c r="W20" i="2"/>
  <c r="W19" i="2"/>
  <c r="W17" i="2"/>
  <c r="W11" i="2"/>
  <c r="W7" i="2"/>
  <c r="Z11" i="2"/>
  <c r="Z7" i="2"/>
  <c r="AB25" i="2"/>
  <c r="AA25" i="2"/>
  <c r="X25" i="2"/>
  <c r="W25" i="2"/>
  <c r="AB24" i="2"/>
  <c r="AA24" i="2"/>
  <c r="X24" i="2"/>
  <c r="AB23" i="2"/>
  <c r="X23" i="2"/>
  <c r="Z17" i="2"/>
  <c r="Z19" i="2" s="1"/>
  <c r="Z20" i="2" s="1"/>
  <c r="Y17" i="2"/>
  <c r="Y19" i="2" s="1"/>
  <c r="Y20" i="2" s="1"/>
  <c r="X17" i="2"/>
  <c r="X19" i="2" s="1"/>
  <c r="X20" i="2" s="1"/>
  <c r="X11" i="2"/>
  <c r="X7" i="2"/>
  <c r="AB20" i="2"/>
  <c r="AB19" i="2"/>
  <c r="AA19" i="2"/>
  <c r="AA20" i="2" s="1"/>
  <c r="AB17" i="2"/>
  <c r="AA17" i="2"/>
  <c r="AB14" i="2"/>
  <c r="AB15" i="2" s="1"/>
  <c r="W15" i="2"/>
  <c r="AA14" i="2"/>
  <c r="AA15" i="2" s="1"/>
  <c r="Z14" i="2"/>
  <c r="Z15" i="2" s="1"/>
  <c r="Y14" i="2"/>
  <c r="Y15" i="2" s="1"/>
  <c r="X14" i="2"/>
  <c r="X15" i="2" s="1"/>
  <c r="W14" i="2"/>
  <c r="AB11" i="2"/>
  <c r="AA11" i="2"/>
  <c r="AA7" i="2"/>
  <c r="AB7" i="2"/>
  <c r="V7" i="2"/>
  <c r="AD9" i="2"/>
  <c r="AD24" i="2" s="1"/>
  <c r="AC9" i="2"/>
  <c r="AC23" i="2" s="1"/>
  <c r="AB9" i="2"/>
  <c r="AA9" i="2"/>
  <c r="Z9" i="2"/>
  <c r="Z23" i="2" s="1"/>
  <c r="Y9" i="2"/>
  <c r="Y24" i="2" s="1"/>
  <c r="X9" i="2"/>
  <c r="W9" i="2"/>
  <c r="W23" i="2" s="1"/>
  <c r="V42" i="2"/>
  <c r="V27" i="2"/>
  <c r="V33" i="2"/>
  <c r="V34" i="2" s="1"/>
  <c r="AP21" i="2"/>
  <c r="AO21" i="2"/>
  <c r="AP16" i="2"/>
  <c r="AO16" i="2"/>
  <c r="AP13" i="2"/>
  <c r="AO13" i="2"/>
  <c r="AP12" i="2"/>
  <c r="AO12" i="2"/>
  <c r="AP10" i="2"/>
  <c r="AO10" i="2"/>
  <c r="AO8" i="2"/>
  <c r="AO6" i="2"/>
  <c r="AP8" i="2"/>
  <c r="AW8" i="2" s="1"/>
  <c r="AX8" i="2" s="1"/>
  <c r="AY8" i="2" s="1"/>
  <c r="AZ8" i="2" s="1"/>
  <c r="BA8" i="2" s="1"/>
  <c r="AP6" i="2"/>
  <c r="AW6" i="2" s="1"/>
  <c r="AX6" i="2" s="1"/>
  <c r="AY6" i="2" s="1"/>
  <c r="AZ6" i="2" s="1"/>
  <c r="BA6" i="2" s="1"/>
  <c r="AW5" i="2"/>
  <c r="AO5" i="2"/>
  <c r="N7" i="2"/>
  <c r="Q18" i="2"/>
  <c r="AO18" i="2" s="1"/>
  <c r="U7" i="2"/>
  <c r="U9" i="2" s="1"/>
  <c r="U11" i="2" s="1"/>
  <c r="U24" i="2" s="1"/>
  <c r="T7" i="2"/>
  <c r="T9" i="2" s="1"/>
  <c r="S7" i="2"/>
  <c r="S9" i="2" s="1"/>
  <c r="R7" i="2"/>
  <c r="R9" i="2" s="1"/>
  <c r="R11" i="2" s="1"/>
  <c r="R24" i="2" s="1"/>
  <c r="Q7" i="2"/>
  <c r="Q9" i="2" s="1"/>
  <c r="Q11" i="2" s="1"/>
  <c r="P7" i="2"/>
  <c r="P9" i="2" s="1"/>
  <c r="O7" i="2"/>
  <c r="O9" i="2" s="1"/>
  <c r="O11" i="2" s="1"/>
  <c r="V18" i="2"/>
  <c r="AP18" i="2" s="1"/>
  <c r="V14" i="2"/>
  <c r="U14" i="2"/>
  <c r="T14" i="2"/>
  <c r="S14" i="2"/>
  <c r="R14" i="2"/>
  <c r="Q14" i="2"/>
  <c r="P14" i="2"/>
  <c r="O14" i="2"/>
  <c r="V9" i="2"/>
  <c r="AH7" i="2"/>
  <c r="AH14" i="2"/>
  <c r="AH9" i="2"/>
  <c r="AH11" i="2" s="1"/>
  <c r="AI14" i="2"/>
  <c r="AI7" i="2"/>
  <c r="AI9" i="2" s="1"/>
  <c r="AI11" i="2" s="1"/>
  <c r="AJ18" i="2"/>
  <c r="AJ14" i="2"/>
  <c r="AJ7" i="2"/>
  <c r="AJ9" i="2" s="1"/>
  <c r="AJ11" i="2" s="1"/>
  <c r="AJ24" i="2" s="1"/>
  <c r="AK18" i="2"/>
  <c r="AK14" i="2"/>
  <c r="AK7" i="2"/>
  <c r="AK9" i="2" s="1"/>
  <c r="AK11" i="2" s="1"/>
  <c r="AK24" i="2" s="1"/>
  <c r="AN12" i="2"/>
  <c r="AS12" i="2" s="1"/>
  <c r="AN21" i="2"/>
  <c r="AS21" i="2" s="1"/>
  <c r="AT21" i="2" s="1"/>
  <c r="AU21" i="2" s="1"/>
  <c r="AV21" i="2" s="1"/>
  <c r="AW21" i="2" s="1"/>
  <c r="AX21" i="2" s="1"/>
  <c r="AN16" i="2"/>
  <c r="AM21" i="2"/>
  <c r="AM16" i="2"/>
  <c r="AM13" i="2"/>
  <c r="AM12" i="2"/>
  <c r="AM10" i="2"/>
  <c r="AM8" i="2"/>
  <c r="AM6" i="2"/>
  <c r="AM5" i="2"/>
  <c r="AL21" i="2"/>
  <c r="AL16" i="2"/>
  <c r="AL13" i="2"/>
  <c r="AL12" i="2"/>
  <c r="AL14" i="2" s="1"/>
  <c r="AL10" i="2"/>
  <c r="AL8" i="2"/>
  <c r="AL6" i="2"/>
  <c r="AL5" i="2"/>
  <c r="AL7" i="2" s="1"/>
  <c r="AK2" i="2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D18" i="2"/>
  <c r="E18" i="2"/>
  <c r="E14" i="2"/>
  <c r="D14" i="2"/>
  <c r="E7" i="2"/>
  <c r="E9" i="2" s="1"/>
  <c r="E11" i="2" s="1"/>
  <c r="E24" i="2" s="1"/>
  <c r="D7" i="2"/>
  <c r="D9" i="2" s="1"/>
  <c r="D11" i="2" s="1"/>
  <c r="D15" i="2" s="1"/>
  <c r="C18" i="2"/>
  <c r="C14" i="2"/>
  <c r="C7" i="2"/>
  <c r="C9" i="2" s="1"/>
  <c r="C11" i="2" s="1"/>
  <c r="C24" i="2" s="1"/>
  <c r="G7" i="2"/>
  <c r="G9" i="2" s="1"/>
  <c r="F18" i="2"/>
  <c r="F14" i="2"/>
  <c r="F7" i="2"/>
  <c r="F9" i="2" s="1"/>
  <c r="F11" i="2" s="1"/>
  <c r="F24" i="2" s="1"/>
  <c r="I18" i="2"/>
  <c r="I14" i="2"/>
  <c r="I7" i="2"/>
  <c r="I9" i="2" s="1"/>
  <c r="I11" i="2" s="1"/>
  <c r="I24" i="2" s="1"/>
  <c r="J18" i="2"/>
  <c r="J14" i="2"/>
  <c r="J7" i="2"/>
  <c r="J9" i="2" s="1"/>
  <c r="J11" i="2" s="1"/>
  <c r="J24" i="2" s="1"/>
  <c r="H18" i="2"/>
  <c r="L18" i="2"/>
  <c r="H14" i="2"/>
  <c r="H7" i="2"/>
  <c r="H9" i="2" s="1"/>
  <c r="H11" i="2" s="1"/>
  <c r="H24" i="2" s="1"/>
  <c r="K7" i="2"/>
  <c r="K9" i="2" s="1"/>
  <c r="K11" i="2" s="1"/>
  <c r="K24" i="2" s="1"/>
  <c r="L14" i="2"/>
  <c r="L7" i="2"/>
  <c r="L9" i="2" s="1"/>
  <c r="K18" i="2"/>
  <c r="G18" i="2"/>
  <c r="K14" i="2"/>
  <c r="G14" i="2"/>
  <c r="K4" i="1"/>
  <c r="K7" i="1" s="1"/>
  <c r="AD23" i="2" l="1"/>
  <c r="AC24" i="2"/>
  <c r="Y25" i="2"/>
  <c r="Y23" i="2"/>
  <c r="W24" i="2"/>
  <c r="AA23" i="2"/>
  <c r="Z25" i="2"/>
  <c r="Z24" i="2"/>
  <c r="AI23" i="2"/>
  <c r="V11" i="2"/>
  <c r="V24" i="2" s="1"/>
  <c r="V23" i="2"/>
  <c r="P11" i="2"/>
  <c r="P24" i="2" s="1"/>
  <c r="AX5" i="2"/>
  <c r="AY5" i="2" s="1"/>
  <c r="AZ5" i="2" s="1"/>
  <c r="BA5" i="2" s="1"/>
  <c r="BA7" i="2" s="1"/>
  <c r="BA9" i="2" s="1"/>
  <c r="AW7" i="2"/>
  <c r="AW9" i="2" s="1"/>
  <c r="O15" i="2"/>
  <c r="O17" i="2" s="1"/>
  <c r="R15" i="2"/>
  <c r="R17" i="2" s="1"/>
  <c r="AL9" i="2"/>
  <c r="P15" i="2"/>
  <c r="P17" i="2" s="1"/>
  <c r="Q15" i="2"/>
  <c r="Q17" i="2" s="1"/>
  <c r="Q25" i="2" s="1"/>
  <c r="AM7" i="2"/>
  <c r="AM9" i="2" s="1"/>
  <c r="AM23" i="2" s="1"/>
  <c r="AJ23" i="2"/>
  <c r="AK23" i="2"/>
  <c r="H23" i="2"/>
  <c r="AY21" i="2"/>
  <c r="AX13" i="2"/>
  <c r="AY13" i="2" s="1"/>
  <c r="AZ13" i="2" s="1"/>
  <c r="BA13" i="2" s="1"/>
  <c r="AY7" i="2"/>
  <c r="AY9" i="2" s="1"/>
  <c r="AZ7" i="2"/>
  <c r="AZ9" i="2" s="1"/>
  <c r="AR7" i="2"/>
  <c r="O19" i="2"/>
  <c r="O20" i="2" s="1"/>
  <c r="O25" i="2"/>
  <c r="O23" i="2"/>
  <c r="O24" i="2"/>
  <c r="S23" i="2"/>
  <c r="S11" i="2"/>
  <c r="S24" i="2" s="1"/>
  <c r="P25" i="2"/>
  <c r="P19" i="2"/>
  <c r="P20" i="2" s="1"/>
  <c r="P23" i="2"/>
  <c r="U23" i="2"/>
  <c r="Q24" i="2"/>
  <c r="T23" i="2"/>
  <c r="T11" i="2"/>
  <c r="T24" i="2" s="1"/>
  <c r="U15" i="2"/>
  <c r="U17" i="2" s="1"/>
  <c r="V15" i="2"/>
  <c r="V17" i="2" s="1"/>
  <c r="AN8" i="2"/>
  <c r="AN13" i="2"/>
  <c r="AS13" i="2" s="1"/>
  <c r="AT13" i="2" s="1"/>
  <c r="AU13" i="2" s="1"/>
  <c r="AV13" i="2" s="1"/>
  <c r="AW13" i="2" s="1"/>
  <c r="N14" i="2"/>
  <c r="AM14" i="2"/>
  <c r="AN5" i="2"/>
  <c r="AI15" i="2"/>
  <c r="AI17" i="2" s="1"/>
  <c r="AI19" i="2" s="1"/>
  <c r="AI20" i="2" s="1"/>
  <c r="AL18" i="2"/>
  <c r="AT12" i="2"/>
  <c r="AU12" i="2" s="1"/>
  <c r="AH24" i="2"/>
  <c r="AH15" i="2"/>
  <c r="AH17" i="2" s="1"/>
  <c r="G11" i="2"/>
  <c r="G24" i="2" s="1"/>
  <c r="G23" i="2"/>
  <c r="M7" i="2"/>
  <c r="M9" i="2" s="1"/>
  <c r="AM18" i="2"/>
  <c r="AN6" i="2"/>
  <c r="AI24" i="2"/>
  <c r="D24" i="2"/>
  <c r="N9" i="2"/>
  <c r="AM11" i="2"/>
  <c r="AL11" i="2"/>
  <c r="AL23" i="2"/>
  <c r="L23" i="2"/>
  <c r="L11" i="2"/>
  <c r="L24" i="2" s="1"/>
  <c r="M14" i="2"/>
  <c r="I23" i="2"/>
  <c r="J23" i="2"/>
  <c r="J15" i="2"/>
  <c r="J17" i="2" s="1"/>
  <c r="J19" i="2" s="1"/>
  <c r="J20" i="2" s="1"/>
  <c r="K23" i="2"/>
  <c r="AJ15" i="2"/>
  <c r="AJ17" i="2" s="1"/>
  <c r="AJ19" i="2" s="1"/>
  <c r="AJ20" i="2" s="1"/>
  <c r="AK15" i="2"/>
  <c r="AK17" i="2" s="1"/>
  <c r="AK19" i="2" s="1"/>
  <c r="AK20" i="2" s="1"/>
  <c r="D17" i="2"/>
  <c r="E15" i="2"/>
  <c r="E17" i="2" s="1"/>
  <c r="F15" i="2"/>
  <c r="F17" i="2" s="1"/>
  <c r="F19" i="2" s="1"/>
  <c r="F20" i="2" s="1"/>
  <c r="C15" i="2"/>
  <c r="C17" i="2" s="1"/>
  <c r="C19" i="2" s="1"/>
  <c r="C20" i="2" s="1"/>
  <c r="I15" i="2"/>
  <c r="I17" i="2" s="1"/>
  <c r="I19" i="2" s="1"/>
  <c r="I20" i="2" s="1"/>
  <c r="H15" i="2"/>
  <c r="H17" i="2" s="1"/>
  <c r="K15" i="2"/>
  <c r="K17" i="2" s="1"/>
  <c r="K19" i="2" s="1"/>
  <c r="K20" i="2" s="1"/>
  <c r="AX7" i="2" l="1"/>
  <c r="AX9" i="2" s="1"/>
  <c r="AY11" i="2"/>
  <c r="AY24" i="2" s="1"/>
  <c r="AY23" i="2"/>
  <c r="BA23" i="2"/>
  <c r="BA11" i="2"/>
  <c r="BA24" i="2" s="1"/>
  <c r="Q23" i="2"/>
  <c r="M11" i="2"/>
  <c r="R19" i="2"/>
  <c r="R20" i="2" s="1"/>
  <c r="R25" i="2"/>
  <c r="AW11" i="2"/>
  <c r="AW24" i="2" s="1"/>
  <c r="AZ11" i="2"/>
  <c r="AZ24" i="2" s="1"/>
  <c r="AZ23" i="2"/>
  <c r="V19" i="2"/>
  <c r="V20" i="2" s="1"/>
  <c r="V25" i="2"/>
  <c r="Q19" i="2"/>
  <c r="Q20" i="2" s="1"/>
  <c r="R23" i="2"/>
  <c r="N11" i="2"/>
  <c r="N24" i="2" s="1"/>
  <c r="AX23" i="2"/>
  <c r="AX11" i="2"/>
  <c r="AX24" i="2" s="1"/>
  <c r="AZ21" i="2"/>
  <c r="AR14" i="2"/>
  <c r="AQ14" i="2"/>
  <c r="AS14" i="2"/>
  <c r="AP14" i="2"/>
  <c r="AN14" i="2"/>
  <c r="AT14" i="2"/>
  <c r="AO14" i="2"/>
  <c r="S15" i="2"/>
  <c r="S17" i="2" s="1"/>
  <c r="S19" i="2" s="1"/>
  <c r="S20" i="2" s="1"/>
  <c r="T15" i="2"/>
  <c r="T17" i="2" s="1"/>
  <c r="T19" i="2" s="1"/>
  <c r="T20" i="2" s="1"/>
  <c r="U19" i="2"/>
  <c r="U20" i="2" s="1"/>
  <c r="U25" i="2"/>
  <c r="AI25" i="2"/>
  <c r="F25" i="2"/>
  <c r="M23" i="2"/>
  <c r="AK25" i="2"/>
  <c r="AJ25" i="2"/>
  <c r="G15" i="2"/>
  <c r="G17" i="2" s="1"/>
  <c r="G19" i="2" s="1"/>
  <c r="G20" i="2" s="1"/>
  <c r="J25" i="2"/>
  <c r="AO7" i="2"/>
  <c r="AO9" i="2" s="1"/>
  <c r="AO11" i="2" s="1"/>
  <c r="N23" i="2"/>
  <c r="AN7" i="2"/>
  <c r="AN9" i="2" s="1"/>
  <c r="AN23" i="2" s="1"/>
  <c r="AV12" i="2"/>
  <c r="AU14" i="2"/>
  <c r="AH25" i="2"/>
  <c r="AH19" i="2"/>
  <c r="AH20" i="2" s="1"/>
  <c r="K25" i="2"/>
  <c r="C25" i="2"/>
  <c r="AL15" i="2"/>
  <c r="AL17" i="2" s="1"/>
  <c r="AL24" i="2"/>
  <c r="AM15" i="2"/>
  <c r="AM17" i="2" s="1"/>
  <c r="AM24" i="2"/>
  <c r="H19" i="2"/>
  <c r="H20" i="2" s="1"/>
  <c r="H25" i="2"/>
  <c r="D19" i="2"/>
  <c r="D20" i="2" s="1"/>
  <c r="D25" i="2"/>
  <c r="E19" i="2"/>
  <c r="E20" i="2" s="1"/>
  <c r="E25" i="2"/>
  <c r="I25" i="2"/>
  <c r="L15" i="2"/>
  <c r="L17" i="2" s="1"/>
  <c r="AY10" i="2" l="1"/>
  <c r="BA10" i="2"/>
  <c r="AZ10" i="2"/>
  <c r="AX10" i="2"/>
  <c r="S25" i="2"/>
  <c r="AV14" i="2"/>
  <c r="AW12" i="2"/>
  <c r="AW10" i="2"/>
  <c r="BA21" i="2"/>
  <c r="M15" i="2"/>
  <c r="M17" i="2" s="1"/>
  <c r="M19" i="2" s="1"/>
  <c r="M24" i="2"/>
  <c r="AO15" i="2"/>
  <c r="AO24" i="2"/>
  <c r="T25" i="2"/>
  <c r="AN10" i="2"/>
  <c r="AN11" i="2" s="1"/>
  <c r="N15" i="2"/>
  <c r="N17" i="2" s="1"/>
  <c r="N25" i="2" s="1"/>
  <c r="G25" i="2"/>
  <c r="AO23" i="2"/>
  <c r="L19" i="2"/>
  <c r="L20" i="2" s="1"/>
  <c r="L25" i="2"/>
  <c r="AM19" i="2"/>
  <c r="AM20" i="2" s="1"/>
  <c r="AM25" i="2"/>
  <c r="AL19" i="2"/>
  <c r="AL20" i="2" s="1"/>
  <c r="AL25" i="2"/>
  <c r="AX12" i="2" l="1"/>
  <c r="AW14" i="2"/>
  <c r="AW15" i="2" s="1"/>
  <c r="AV7" i="2"/>
  <c r="AU7" i="2"/>
  <c r="AN15" i="2"/>
  <c r="AN17" i="2" s="1"/>
  <c r="AN24" i="2"/>
  <c r="AP7" i="2"/>
  <c r="AP9" i="2" s="1"/>
  <c r="AP11" i="2" s="1"/>
  <c r="AP24" i="2" s="1"/>
  <c r="M20" i="2"/>
  <c r="M27" i="2"/>
  <c r="N19" i="2"/>
  <c r="N20" i="2" s="1"/>
  <c r="M25" i="2"/>
  <c r="AN18" i="2"/>
  <c r="AY12" i="2" l="1"/>
  <c r="AX14" i="2"/>
  <c r="AX15" i="2" s="1"/>
  <c r="AN25" i="2"/>
  <c r="AP23" i="2"/>
  <c r="AR9" i="2"/>
  <c r="AQ7" i="2"/>
  <c r="AQ9" i="2" s="1"/>
  <c r="N27" i="2"/>
  <c r="AN27" i="2" s="1"/>
  <c r="AO17" i="2" s="1"/>
  <c r="AO25" i="2" s="1"/>
  <c r="AN19" i="2"/>
  <c r="AN20" i="2" s="1"/>
  <c r="AZ12" i="2" l="1"/>
  <c r="AY14" i="2"/>
  <c r="AY15" i="2" s="1"/>
  <c r="AQ23" i="2"/>
  <c r="AR23" i="2"/>
  <c r="AP15" i="2"/>
  <c r="AO19" i="2"/>
  <c r="AO20" i="2" s="1"/>
  <c r="AZ14" i="2" l="1"/>
  <c r="AZ15" i="2" s="1"/>
  <c r="BA12" i="2"/>
  <c r="BA14" i="2" s="1"/>
  <c r="BA15" i="2" s="1"/>
  <c r="AO27" i="2"/>
  <c r="AP17" i="2" s="1"/>
  <c r="AP25" i="2" s="1"/>
  <c r="AS9" i="2"/>
  <c r="AR24" i="2"/>
  <c r="AR15" i="2"/>
  <c r="AP19" i="2" l="1"/>
  <c r="AS23" i="2"/>
  <c r="AS11" i="2"/>
  <c r="AT9" i="2"/>
  <c r="AP27" i="2"/>
  <c r="AP20" i="2"/>
  <c r="AT23" i="2" l="1"/>
  <c r="AT11" i="2"/>
  <c r="AV9" i="2"/>
  <c r="AW23" i="2" s="1"/>
  <c r="AU9" i="2"/>
  <c r="AS10" i="2"/>
  <c r="AS24" i="2"/>
  <c r="AS15" i="2"/>
  <c r="AU11" i="2" l="1"/>
  <c r="AU23" i="2"/>
  <c r="AV11" i="2"/>
  <c r="AV23" i="2"/>
  <c r="AT10" i="2"/>
  <c r="AT15" i="2"/>
  <c r="AT24" i="2"/>
  <c r="AU10" i="2" l="1"/>
  <c r="AU24" i="2"/>
  <c r="AU15" i="2"/>
  <c r="AV10" i="2"/>
  <c r="AV15" i="2"/>
  <c r="AV24" i="2"/>
  <c r="AQ15" i="2" l="1"/>
  <c r="AQ17" i="2" s="1"/>
  <c r="AQ24" i="2"/>
  <c r="AQ25" i="2" l="1"/>
  <c r="AQ19" i="2" l="1"/>
  <c r="AQ20" i="2" l="1"/>
  <c r="AQ27" i="2"/>
  <c r="AR17" i="2" l="1"/>
  <c r="AR25" i="2" l="1"/>
  <c r="AR19" i="2"/>
  <c r="AR20" i="2" l="1"/>
  <c r="AR27" i="2"/>
  <c r="AS16" i="2" l="1"/>
  <c r="AS17" i="2" s="1"/>
  <c r="AS18" i="2" l="1"/>
  <c r="AS25" i="2" s="1"/>
  <c r="AS19" i="2" l="1"/>
  <c r="AS20" i="2"/>
  <c r="AS27" i="2"/>
  <c r="AT16" i="2" l="1"/>
  <c r="AT17" i="2" s="1"/>
  <c r="AT18" i="2" l="1"/>
  <c r="AT25" i="2" s="1"/>
  <c r="AT19" i="2"/>
  <c r="AT20" i="2" l="1"/>
  <c r="AT27" i="2"/>
  <c r="AU16" i="2" l="1"/>
  <c r="AU17" i="2" s="1"/>
  <c r="AU18" i="2" l="1"/>
  <c r="AU25" i="2" s="1"/>
  <c r="AU19" i="2" l="1"/>
  <c r="AU20" i="2" l="1"/>
  <c r="AU27" i="2"/>
  <c r="AV16" i="2" l="1"/>
  <c r="AV17" i="2" s="1"/>
  <c r="AV18" i="2" l="1"/>
  <c r="AV25" i="2" s="1"/>
  <c r="AV19" i="2" l="1"/>
  <c r="AV20" i="2" l="1"/>
  <c r="AV27" i="2"/>
  <c r="AW16" i="2" l="1"/>
  <c r="AW17" i="2" s="1"/>
  <c r="AW18" i="2"/>
  <c r="AW25" i="2" s="1"/>
  <c r="AW19" i="2" l="1"/>
  <c r="AW27" i="2" s="1"/>
  <c r="AX16" i="2" l="1"/>
  <c r="AX17" i="2" s="1"/>
  <c r="AW20" i="2"/>
  <c r="AX18" i="2" l="1"/>
  <c r="AX25" i="2" s="1"/>
  <c r="AX19" i="2" l="1"/>
  <c r="AX20" i="2"/>
  <c r="AX27" i="2"/>
  <c r="AY16" i="2" l="1"/>
  <c r="AY17" i="2" s="1"/>
  <c r="AY18" i="2" l="1"/>
  <c r="AY25" i="2" s="1"/>
  <c r="AY19" i="2"/>
  <c r="AY20" i="2" l="1"/>
  <c r="AY27" i="2"/>
  <c r="AZ16" i="2" l="1"/>
  <c r="AZ17" i="2" s="1"/>
  <c r="AZ18" i="2" l="1"/>
  <c r="AZ25" i="2" s="1"/>
  <c r="AZ19" i="2" l="1"/>
  <c r="AZ20" i="2" s="1"/>
  <c r="AZ27" i="2" l="1"/>
  <c r="BA16" i="2" s="1"/>
  <c r="BA17" i="2" s="1"/>
  <c r="BA18" i="2" l="1"/>
  <c r="BA25" i="2" s="1"/>
  <c r="BA19" i="2" l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BF26" i="2" s="1"/>
  <c r="BF27" i="2" s="1"/>
  <c r="BA27" i="2"/>
  <c r="BA20" i="2" l="1"/>
</calcChain>
</file>

<file path=xl/sharedStrings.xml><?xml version="1.0" encoding="utf-8"?>
<sst xmlns="http://schemas.openxmlformats.org/spreadsheetml/2006/main" count="82" uniqueCount="76">
  <si>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</si>
  <si>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</si>
  <si>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</si>
  <si>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</si>
  <si>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</si>
  <si>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</si>
  <si>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</si>
  <si>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</si>
  <si>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</si>
  <si>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</si>
  <si>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</si>
  <si>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</si>
  <si>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</si>
  <si>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</si>
  <si>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</si>
  <si>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</si>
  <si>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</si>
  <si>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</si>
  <si>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</si>
  <si>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</si>
  <si>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</si>
  <si>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</t>
  </si>
  <si>
    <t>COGS</t>
  </si>
  <si>
    <t>Gross Margin</t>
  </si>
  <si>
    <t>SG&amp;A</t>
  </si>
  <si>
    <t>R&amp;D</t>
  </si>
  <si>
    <t>OpEx</t>
  </si>
  <si>
    <t>OpInc</t>
  </si>
  <si>
    <t>Net Income</t>
  </si>
  <si>
    <t>Interest</t>
  </si>
  <si>
    <t>Pretax</t>
  </si>
  <si>
    <t>Taxes</t>
  </si>
  <si>
    <t>EPS</t>
  </si>
  <si>
    <t>Instruments</t>
  </si>
  <si>
    <t>Systems</t>
  </si>
  <si>
    <t>Revenue Growth</t>
  </si>
  <si>
    <t>Tax Rate</t>
  </si>
  <si>
    <t>Discount</t>
  </si>
  <si>
    <t>ROIC</t>
  </si>
  <si>
    <t>Terminal</t>
  </si>
  <si>
    <t>NPV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</si>
  <si>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</si>
  <si>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</si>
  <si>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</si>
  <si>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</si>
  <si>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</si>
  <si>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</si>
  <si>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</si>
  <si>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</si>
  <si>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</si>
  <si>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</si>
  <si>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</si>
  <si>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</si>
  <si>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Installed Base</t>
  </si>
  <si>
    <t>da Vinci 5</t>
  </si>
  <si>
    <t>Ion bronchoscopy system - lung biopsy for lung cancer</t>
  </si>
  <si>
    <t>CMO: Myriam Curet</t>
  </si>
  <si>
    <t>AR</t>
  </si>
  <si>
    <t>Inventory</t>
  </si>
  <si>
    <t>Prepaids</t>
  </si>
  <si>
    <t>PP&amp;E</t>
  </si>
  <si>
    <t>DTA</t>
  </si>
  <si>
    <t>Goodwill</t>
  </si>
  <si>
    <t>Assets</t>
  </si>
  <si>
    <t>L+SE</t>
  </si>
  <si>
    <t>SE</t>
  </si>
  <si>
    <t>OLTL</t>
  </si>
  <si>
    <t>Accrued</t>
  </si>
  <si>
    <t>DR</t>
  </si>
  <si>
    <t>Compensation</t>
  </si>
  <si>
    <t>AP</t>
  </si>
  <si>
    <t>Q126</t>
  </si>
  <si>
    <t>Q226</t>
  </si>
  <si>
    <t>Q326</t>
  </si>
  <si>
    <t>Q426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</si>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</sst>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86426C5-85AC-4C94-982F-665BA715E0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23542</xdr:colOff>
      <xdr:row>0</xdr:row>
      <xdr:rowOff>0</xdr:rowOff>
    </xdr:from>
    <xdr:to>
      <xdr:col>28</xdr:col>
      <xdr:colOff>23542</xdr:colOff>
      <xdr:row>45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BCE03D-7867-3AE1-A08E-B27B973BB00C}"/>
            </a:ext>
          </a:extLst>
        </xdr:cNvPr>
        <xdr:cNvCxnSpPr/>
      </xdr:nvCxnSpPr>
      <xdr:spPr>
        <a:xfrm>
          <a:off x="17952439" y="0"/>
          <a:ext cx="0" cy="7207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54665</xdr:colOff>
      <xdr:row>0</xdr:row>
      <xdr:rowOff>0</xdr:rowOff>
    </xdr:from>
    <xdr:to>
      <xdr:col>43</xdr:col>
      <xdr:colOff>54665</xdr:colOff>
      <xdr:row>45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FF06E6E-5AE0-4E2E-9615-CFD30C614526}"/>
            </a:ext>
          </a:extLst>
        </xdr:cNvPr>
        <xdr:cNvCxnSpPr/>
      </xdr:nvCxnSpPr>
      <xdr:spPr>
        <a:xfrm>
          <a:off x="27182969" y="0"/>
          <a:ext cx="0" cy="73121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9FB7-8F26-4D36-A255-42CFCB85800A}">
  <dimension ref="B2:L12"/>
  <sheetViews>
    <sheetView zoomScale="130" zoomScaleNormal="130" workbookViewId="0"/>
  </sheetViews>
  <sheetFormatPr defaultRowHeight="12.5" x14ac:dyDescent="0.25"/>
  <sheetData>
    <row r="2" spans="2:12" x14ac:dyDescent="0.25">
      <c r="B2" t="s">
        <v>55</v>
      </c>
      <c r="J2" t="s">
        <v>0</v>
      </c>
      <c r="K2" s="1">
        <v>365</v>
      </c>
    </row>
    <row r="3" spans="2:12" x14ac:dyDescent="0.25">
      <c r="B3" t="s">
        <v>54</v>
      </c>
      <c r="J3" t="s">
        <v>1</v>
      </c>
      <c r="K3" s="2">
        <v>354.16284200000001</v>
      </c>
      <c r="L3" s="3" t="s">
        <v>71</v>
      </c>
    </row>
    <row r="4" spans="2:12" x14ac:dyDescent="0.25">
      <c r="J4" t="s">
        <v>2</v>
      </c>
      <c r="K4" s="2">
        <f>+K2*K3</f>
        <v>129269.43733</v>
      </c>
      <c r="L4" s="3"/>
    </row>
    <row r="5" spans="2:12" x14ac:dyDescent="0.25">
      <c r="J5" t="s">
        <v>3</v>
      </c>
      <c r="K5" s="2">
        <f>2006.5+2510.8+3461.9</f>
        <v>7979.2000000000007</v>
      </c>
      <c r="L5" s="3" t="s">
        <v>71</v>
      </c>
    </row>
    <row r="6" spans="2:12" x14ac:dyDescent="0.25">
      <c r="J6" t="s">
        <v>4</v>
      </c>
      <c r="K6" s="2">
        <v>0</v>
      </c>
      <c r="L6" s="3" t="s">
        <v>71</v>
      </c>
    </row>
    <row r="7" spans="2:12" x14ac:dyDescent="0.25">
      <c r="J7" t="s">
        <v>5</v>
      </c>
      <c r="K7" s="2">
        <f>+K4-K5+K6</f>
        <v>121290.23733</v>
      </c>
    </row>
    <row r="12" spans="2:12" x14ac:dyDescent="0.25">
      <c r="J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6BBF-03C9-41A9-85AE-A65C09D4E9BF}">
  <dimension ref="A1:DG42"/>
  <sheetViews>
    <sheetView tabSelected="1" zoomScale="115" zoomScaleNormal="115" workbookViewId="0">
      <pane xSplit="2" ySplit="2" topLeftCell="AQ3" activePane="bottomRight" state="frozen"/>
      <selection pane="topRight" activeCell="C1" sqref="C1"/>
      <selection pane="bottomLeft" activeCell="A3" sqref="A3"/>
      <selection pane="bottomRight" activeCell="AU9" sqref="AU9"/>
    </sheetView>
  </sheetViews>
  <sheetFormatPr defaultRowHeight="12.5" x14ac:dyDescent="0.25"/>
  <cols>
    <col min="1" max="1" width="5" bestFit="1" customWidth="1"/>
    <col min="2" max="2" width="14.54296875" bestFit="1" customWidth="1"/>
    <col min="3" max="26" width="9.1796875" style="3"/>
    <col min="27" max="30" width="8.7265625" style="3"/>
    <col min="31" max="32" width="9.1796875" style="3"/>
    <col min="49" max="53" width="8.81640625" customWidth="1"/>
  </cols>
  <sheetData>
    <row r="1" spans="1:53" x14ac:dyDescent="0.25">
      <c r="A1" s="9" t="s">
        <v>7</v>
      </c>
    </row>
    <row r="2" spans="1:53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6</v>
      </c>
      <c r="L2" s="3" t="s">
        <v>17</v>
      </c>
      <c r="M2" s="3" t="s">
        <v>18</v>
      </c>
      <c r="N2" s="3" t="s">
        <v>19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71</v>
      </c>
      <c r="AB2" s="3" t="s">
        <v>72</v>
      </c>
      <c r="AC2" s="3" t="s">
        <v>73</v>
      </c>
      <c r="AD2" s="3" t="s">
        <v>74</v>
      </c>
      <c r="AH2">
        <v>2016</v>
      </c>
      <c r="AI2">
        <v>2017</v>
      </c>
      <c r="AJ2">
        <v>2018</v>
      </c>
      <c r="AK2">
        <f>+AJ2+1</f>
        <v>2019</v>
      </c>
      <c r="AL2">
        <f t="shared" ref="AL2:AV2" si="0">+AK2+1</f>
        <v>2020</v>
      </c>
      <c r="AM2">
        <f t="shared" si="0"/>
        <v>2021</v>
      </c>
      <c r="AN2">
        <f t="shared" si="0"/>
        <v>2022</v>
      </c>
      <c r="AO2">
        <f t="shared" si="0"/>
        <v>2023</v>
      </c>
      <c r="AP2">
        <f t="shared" si="0"/>
        <v>2024</v>
      </c>
      <c r="AQ2">
        <f t="shared" si="0"/>
        <v>2025</v>
      </c>
      <c r="AR2">
        <f t="shared" si="0"/>
        <v>2026</v>
      </c>
      <c r="AS2">
        <f t="shared" si="0"/>
        <v>2027</v>
      </c>
      <c r="AT2">
        <f t="shared" si="0"/>
        <v>2028</v>
      </c>
      <c r="AU2">
        <f t="shared" si="0"/>
        <v>2029</v>
      </c>
      <c r="AV2">
        <f t="shared" si="0"/>
        <v>2030</v>
      </c>
      <c r="AW2">
        <f>+AV2+1</f>
        <v>2031</v>
      </c>
      <c r="AX2">
        <f>+AW2+1</f>
        <v>2032</v>
      </c>
      <c r="AY2">
        <f>+AX2+1</f>
        <v>2033</v>
      </c>
      <c r="AZ2">
        <f>+AY2+1</f>
        <v>2034</v>
      </c>
      <c r="BA2">
        <f>+AZ2+1</f>
        <v>2035</v>
      </c>
    </row>
    <row r="3" spans="1:53" s="2" customFormat="1" x14ac:dyDescent="0.25">
      <c r="B3" s="2" t="s">
        <v>53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v>7544</v>
      </c>
      <c r="O3" s="4"/>
      <c r="P3" s="4"/>
      <c r="Q3" s="4">
        <v>8285</v>
      </c>
      <c r="R3" s="4">
        <v>8606</v>
      </c>
      <c r="S3" s="4"/>
      <c r="T3" s="4"/>
      <c r="U3" s="4">
        <v>9539</v>
      </c>
      <c r="V3" s="4">
        <v>9902</v>
      </c>
      <c r="W3" s="4"/>
      <c r="X3" s="4"/>
      <c r="Y3" s="4"/>
      <c r="Z3" s="4"/>
      <c r="AA3" s="4"/>
      <c r="AB3" s="4"/>
      <c r="AC3" s="4"/>
      <c r="AD3" s="4"/>
      <c r="AE3" s="4"/>
      <c r="AF3" s="4"/>
    </row>
    <row r="5" spans="1:53" s="2" customFormat="1" x14ac:dyDescent="0.25">
      <c r="B5" s="2" t="s">
        <v>33</v>
      </c>
      <c r="C5" s="4">
        <v>617.5</v>
      </c>
      <c r="D5" s="4">
        <v>460.8</v>
      </c>
      <c r="E5" s="4">
        <v>630.6</v>
      </c>
      <c r="F5" s="4">
        <v>746.9</v>
      </c>
      <c r="G5" s="4">
        <v>705.9</v>
      </c>
      <c r="H5" s="4">
        <v>796.4</v>
      </c>
      <c r="I5" s="4">
        <v>755.4</v>
      </c>
      <c r="J5" s="4">
        <v>842.8</v>
      </c>
      <c r="K5" s="4">
        <v>810.3</v>
      </c>
      <c r="L5" s="4">
        <v>895.3</v>
      </c>
      <c r="M5" s="4">
        <v>871.6</v>
      </c>
      <c r="N5" s="4">
        <v>940.7</v>
      </c>
      <c r="O5" s="4">
        <v>985.6</v>
      </c>
      <c r="P5" s="4">
        <v>1075.9000000000001</v>
      </c>
      <c r="Q5" s="4">
        <v>1071.4000000000001</v>
      </c>
      <c r="R5" s="4">
        <v>1143.7</v>
      </c>
      <c r="S5" s="4">
        <v>1158.9000000000001</v>
      </c>
      <c r="T5" s="4">
        <v>1244.4000000000001</v>
      </c>
      <c r="U5" s="4">
        <v>1264.2</v>
      </c>
      <c r="V5" s="4">
        <v>1411.5</v>
      </c>
      <c r="W5" s="4">
        <v>1367.7</v>
      </c>
      <c r="X5" s="4">
        <v>1474.1</v>
      </c>
      <c r="Y5" s="4">
        <v>1518.8</v>
      </c>
      <c r="Z5" s="4">
        <v>1658.3</v>
      </c>
      <c r="AA5" s="4">
        <v>1686.4</v>
      </c>
      <c r="AB5" s="4">
        <v>1734.9</v>
      </c>
      <c r="AC5" s="4">
        <f>+Y5*1.1</f>
        <v>1670.68</v>
      </c>
      <c r="AD5" s="4">
        <f>+Z5*1.1</f>
        <v>1824.13</v>
      </c>
      <c r="AE5" s="4"/>
      <c r="AF5" s="4"/>
      <c r="AH5" s="2">
        <v>1395.8</v>
      </c>
      <c r="AI5" s="2">
        <v>1636.9</v>
      </c>
      <c r="AJ5" s="2">
        <v>1962</v>
      </c>
      <c r="AK5" s="2">
        <v>2408.1999999999998</v>
      </c>
      <c r="AL5" s="2">
        <f>SUM(C5:F5)</f>
        <v>2455.8000000000002</v>
      </c>
      <c r="AM5" s="2">
        <f>SUM(G5:J5)</f>
        <v>3100.5</v>
      </c>
      <c r="AN5" s="2">
        <f>SUM(K5:N5)</f>
        <v>3517.8999999999996</v>
      </c>
      <c r="AO5" s="2">
        <f>SUM(O5:R5)</f>
        <v>4276.6000000000004</v>
      </c>
      <c r="AP5" s="2">
        <f>SUM(S5:V5)</f>
        <v>5079</v>
      </c>
      <c r="AQ5" s="2">
        <f>SUM(W5:Z5)</f>
        <v>6018.9000000000005</v>
      </c>
      <c r="AR5" s="2">
        <f>SUM(AA5:AD5)</f>
        <v>6916.1100000000006</v>
      </c>
      <c r="AS5" s="2">
        <f>+AR5*1.1</f>
        <v>7607.7210000000014</v>
      </c>
      <c r="AT5" s="2">
        <f>+AS5*1.1</f>
        <v>8368.4931000000015</v>
      </c>
      <c r="AU5" s="2">
        <f>+AT5*1.1</f>
        <v>9205.3424100000029</v>
      </c>
      <c r="AV5" s="2">
        <f>+AU5*1.1</f>
        <v>10125.876651000004</v>
      </c>
      <c r="AW5" s="2">
        <f>+AV5*1.1</f>
        <v>11138.464316100006</v>
      </c>
      <c r="AX5" s="2">
        <f t="shared" ref="AX5:BA5" si="1">+AW5*1.1</f>
        <v>12252.310747710007</v>
      </c>
      <c r="AY5" s="2">
        <f t="shared" si="1"/>
        <v>13477.541822481009</v>
      </c>
      <c r="AZ5" s="2">
        <f t="shared" si="1"/>
        <v>14825.296004729111</v>
      </c>
      <c r="BA5" s="2">
        <f t="shared" si="1"/>
        <v>16307.825605202022</v>
      </c>
    </row>
    <row r="6" spans="1:53" s="2" customFormat="1" x14ac:dyDescent="0.25">
      <c r="B6" s="2" t="s">
        <v>34</v>
      </c>
      <c r="C6" s="4">
        <v>283.3</v>
      </c>
      <c r="D6" s="4">
        <v>261</v>
      </c>
      <c r="E6" s="4">
        <v>267.8</v>
      </c>
      <c r="F6" s="4">
        <v>366.8</v>
      </c>
      <c r="G6" s="4">
        <v>368.7</v>
      </c>
      <c r="H6" s="4">
        <v>439.6</v>
      </c>
      <c r="I6" s="4">
        <v>415.2</v>
      </c>
      <c r="J6" s="4">
        <v>469.9</v>
      </c>
      <c r="K6" s="4">
        <v>428.1</v>
      </c>
      <c r="L6" s="4">
        <v>375.1</v>
      </c>
      <c r="M6" s="4">
        <v>425.9</v>
      </c>
      <c r="N6" s="4">
        <v>451</v>
      </c>
      <c r="O6" s="4">
        <v>427.4</v>
      </c>
      <c r="P6" s="4">
        <v>392.7</v>
      </c>
      <c r="Q6" s="4">
        <v>379.4</v>
      </c>
      <c r="R6" s="4">
        <v>480.2</v>
      </c>
      <c r="S6" s="4">
        <v>418.2</v>
      </c>
      <c r="T6" s="4">
        <v>448.2</v>
      </c>
      <c r="U6" s="4">
        <v>445</v>
      </c>
      <c r="V6" s="4">
        <v>654.6</v>
      </c>
      <c r="W6" s="4">
        <v>522.70000000000005</v>
      </c>
      <c r="X6" s="4">
        <v>574.70000000000005</v>
      </c>
      <c r="Y6" s="4">
        <v>590.4</v>
      </c>
      <c r="Z6" s="4">
        <v>785.9</v>
      </c>
      <c r="AA6" s="4">
        <v>650.70000000000005</v>
      </c>
      <c r="AB6" s="4">
        <v>685</v>
      </c>
      <c r="AC6" s="4">
        <f>+Y6*1.1</f>
        <v>649.44000000000005</v>
      </c>
      <c r="AD6" s="4">
        <f>+Z6*1.1</f>
        <v>864.49</v>
      </c>
      <c r="AE6" s="4"/>
      <c r="AF6" s="4"/>
      <c r="AH6" s="2">
        <v>791.6</v>
      </c>
      <c r="AI6" s="2">
        <v>928.4</v>
      </c>
      <c r="AJ6" s="2">
        <v>1127.0999999999999</v>
      </c>
      <c r="AK6" s="2">
        <v>1346.1</v>
      </c>
      <c r="AL6" s="2">
        <f>SUM(C6:F6)</f>
        <v>1178.8999999999999</v>
      </c>
      <c r="AM6" s="2">
        <f>SUM(G6:J6)</f>
        <v>1693.4</v>
      </c>
      <c r="AN6" s="2">
        <f>SUM(K6:N6)</f>
        <v>1680.1</v>
      </c>
      <c r="AO6" s="2">
        <f>SUM(O6:R6)</f>
        <v>1679.7</v>
      </c>
      <c r="AP6" s="2">
        <f>SUM(S6:V6)</f>
        <v>1966</v>
      </c>
      <c r="AQ6" s="2">
        <f>SUM(W6:Z6)</f>
        <v>2473.7000000000003</v>
      </c>
      <c r="AR6" s="2">
        <f>SUM(AA6:AD6)</f>
        <v>2849.63</v>
      </c>
      <c r="AS6" s="2">
        <f>+AR6*1.1</f>
        <v>3134.5930000000003</v>
      </c>
      <c r="AT6" s="2">
        <f>+AS6*1.1</f>
        <v>3448.0523000000007</v>
      </c>
      <c r="AU6" s="2">
        <f>+AT6*1.1</f>
        <v>3792.8575300000011</v>
      </c>
      <c r="AV6" s="2">
        <f>+AU6*1.1</f>
        <v>4172.1432830000012</v>
      </c>
      <c r="AW6" s="2">
        <f t="shared" ref="AW6:BA8" si="2">+AV6*1.1</f>
        <v>4589.3576113000017</v>
      </c>
      <c r="AX6" s="2">
        <f t="shared" si="2"/>
        <v>5048.2933724300019</v>
      </c>
      <c r="AY6" s="2">
        <f t="shared" si="2"/>
        <v>5553.1227096730026</v>
      </c>
      <c r="AZ6" s="2">
        <f t="shared" si="2"/>
        <v>6108.4349806403034</v>
      </c>
      <c r="BA6" s="2">
        <f t="shared" si="2"/>
        <v>6719.2784787043338</v>
      </c>
    </row>
    <row r="7" spans="1:53" s="2" customFormat="1" x14ac:dyDescent="0.25">
      <c r="B7" s="2" t="s">
        <v>20</v>
      </c>
      <c r="C7" s="4">
        <f>+C6+C5</f>
        <v>900.8</v>
      </c>
      <c r="D7" s="4">
        <f t="shared" ref="D7:E7" si="3">+D6+D5</f>
        <v>721.8</v>
      </c>
      <c r="E7" s="4">
        <f t="shared" si="3"/>
        <v>898.40000000000009</v>
      </c>
      <c r="F7" s="4">
        <f t="shared" ref="F7:U7" si="4">+F6+F5</f>
        <v>1113.7</v>
      </c>
      <c r="G7" s="4">
        <f t="shared" si="4"/>
        <v>1074.5999999999999</v>
      </c>
      <c r="H7" s="4">
        <f t="shared" si="4"/>
        <v>1236</v>
      </c>
      <c r="I7" s="4">
        <f t="shared" si="4"/>
        <v>1170.5999999999999</v>
      </c>
      <c r="J7" s="4">
        <f t="shared" si="4"/>
        <v>1312.6999999999998</v>
      </c>
      <c r="K7" s="4">
        <f t="shared" si="4"/>
        <v>1238.4000000000001</v>
      </c>
      <c r="L7" s="4">
        <f t="shared" si="4"/>
        <v>1270.4000000000001</v>
      </c>
      <c r="M7" s="4">
        <f t="shared" si="4"/>
        <v>1297.5</v>
      </c>
      <c r="N7" s="4">
        <f t="shared" si="4"/>
        <v>1391.7</v>
      </c>
      <c r="O7" s="4">
        <f t="shared" si="4"/>
        <v>1413</v>
      </c>
      <c r="P7" s="4">
        <f t="shared" si="4"/>
        <v>1468.6000000000001</v>
      </c>
      <c r="Q7" s="4">
        <f t="shared" si="4"/>
        <v>1450.8000000000002</v>
      </c>
      <c r="R7" s="4">
        <f t="shared" si="4"/>
        <v>1623.9</v>
      </c>
      <c r="S7" s="4">
        <f t="shared" si="4"/>
        <v>1577.1000000000001</v>
      </c>
      <c r="T7" s="4">
        <f t="shared" si="4"/>
        <v>1692.6000000000001</v>
      </c>
      <c r="U7" s="4">
        <f t="shared" si="4"/>
        <v>1709.2</v>
      </c>
      <c r="V7" s="4">
        <f>+V6+V5</f>
        <v>2066.1</v>
      </c>
      <c r="W7" s="4">
        <f>+W6+W5</f>
        <v>1890.4</v>
      </c>
      <c r="X7" s="4">
        <f>+X6+X5</f>
        <v>2048.8000000000002</v>
      </c>
      <c r="Y7" s="4">
        <f>+Y6+Y5</f>
        <v>2109.1999999999998</v>
      </c>
      <c r="Z7" s="4">
        <f>+Z6+Z5</f>
        <v>2444.1999999999998</v>
      </c>
      <c r="AA7" s="4">
        <f>+AA6+AA5</f>
        <v>2337.1000000000004</v>
      </c>
      <c r="AB7" s="4">
        <f>+AB6+AB5</f>
        <v>2419.9</v>
      </c>
      <c r="AC7" s="4">
        <f>+AC6+AC5</f>
        <v>2320.12</v>
      </c>
      <c r="AD7" s="4">
        <f>+AD6+AD5</f>
        <v>2688.62</v>
      </c>
      <c r="AE7" s="4"/>
      <c r="AF7" s="4"/>
      <c r="AH7" s="2">
        <f t="shared" ref="AH7" si="5">+AH5+AH6</f>
        <v>2187.4</v>
      </c>
      <c r="AI7" s="2">
        <f t="shared" ref="AI7:AO7" si="6">+AI5+AI6</f>
        <v>2565.3000000000002</v>
      </c>
      <c r="AJ7" s="2">
        <f t="shared" si="6"/>
        <v>3089.1</v>
      </c>
      <c r="AK7" s="2">
        <f t="shared" si="6"/>
        <v>3754.2999999999997</v>
      </c>
      <c r="AL7" s="2">
        <f t="shared" si="6"/>
        <v>3634.7</v>
      </c>
      <c r="AM7" s="2">
        <f t="shared" si="6"/>
        <v>4793.8999999999996</v>
      </c>
      <c r="AN7" s="2">
        <f t="shared" si="6"/>
        <v>5198</v>
      </c>
      <c r="AO7" s="2">
        <f t="shared" si="6"/>
        <v>5956.3</v>
      </c>
      <c r="AP7" s="2">
        <f t="shared" ref="AP7:AQ7" si="7">+AP5+AP6</f>
        <v>7045</v>
      </c>
      <c r="AQ7" s="2">
        <f t="shared" si="7"/>
        <v>8492.6</v>
      </c>
      <c r="AR7" s="2">
        <f t="shared" ref="AR7:BA7" si="8">+AR5+AR6</f>
        <v>9765.7400000000016</v>
      </c>
      <c r="AS7" s="2">
        <f>+AS5+AS6</f>
        <v>10742.314000000002</v>
      </c>
      <c r="AT7" s="2">
        <f>+AT5+AT6</f>
        <v>11816.545400000003</v>
      </c>
      <c r="AU7" s="2">
        <f t="shared" si="8"/>
        <v>12998.199940000004</v>
      </c>
      <c r="AV7" s="2">
        <f t="shared" si="8"/>
        <v>14298.019934000005</v>
      </c>
      <c r="AW7" s="2">
        <f t="shared" si="8"/>
        <v>15727.821927400008</v>
      </c>
      <c r="AX7" s="2">
        <f t="shared" si="8"/>
        <v>17300.604120140008</v>
      </c>
      <c r="AY7" s="2">
        <f t="shared" si="8"/>
        <v>19030.664532154013</v>
      </c>
      <c r="AZ7" s="2">
        <f t="shared" si="8"/>
        <v>20933.730985369413</v>
      </c>
      <c r="BA7" s="2">
        <f t="shared" si="8"/>
        <v>23027.104083906357</v>
      </c>
    </row>
    <row r="8" spans="1:53" s="2" customFormat="1" x14ac:dyDescent="0.25">
      <c r="B8" s="2" t="s">
        <v>21</v>
      </c>
      <c r="C8" s="4">
        <v>198.7</v>
      </c>
      <c r="D8" s="4">
        <v>130.30000000000001</v>
      </c>
      <c r="E8" s="4">
        <v>179.3</v>
      </c>
      <c r="F8" s="4">
        <v>215.4</v>
      </c>
      <c r="G8" s="4">
        <v>217.5</v>
      </c>
      <c r="H8" s="4">
        <v>228</v>
      </c>
      <c r="I8" s="4">
        <v>232.7</v>
      </c>
      <c r="J8" s="4">
        <v>238</v>
      </c>
      <c r="K8" s="4">
        <v>249.3</v>
      </c>
      <c r="L8" s="4">
        <v>251.7</v>
      </c>
      <c r="M8" s="4">
        <v>259.89999999999998</v>
      </c>
      <c r="N8" s="4">
        <v>263.3</v>
      </c>
      <c r="O8" s="4">
        <v>283.2</v>
      </c>
      <c r="P8" s="4">
        <v>287.3</v>
      </c>
      <c r="Q8" s="4">
        <v>292.89999999999998</v>
      </c>
      <c r="R8" s="4">
        <v>304.39999999999998</v>
      </c>
      <c r="S8" s="4">
        <v>313.5</v>
      </c>
      <c r="T8" s="4">
        <v>317.3</v>
      </c>
      <c r="U8" s="4">
        <v>328.9</v>
      </c>
      <c r="V8" s="4">
        <v>347.4</v>
      </c>
      <c r="W8" s="4">
        <v>363</v>
      </c>
      <c r="X8" s="4">
        <v>391.2</v>
      </c>
      <c r="Y8" s="4">
        <v>395.9</v>
      </c>
      <c r="Z8" s="4">
        <v>422</v>
      </c>
      <c r="AA8" s="4">
        <v>433.7</v>
      </c>
      <c r="AB8" s="4">
        <v>472.4</v>
      </c>
      <c r="AC8" s="4">
        <f>+Y8*1.1</f>
        <v>435.49</v>
      </c>
      <c r="AD8" s="4">
        <f>+Z8*1.1</f>
        <v>464.20000000000005</v>
      </c>
      <c r="AE8" s="4"/>
      <c r="AF8" s="4"/>
      <c r="AH8" s="2">
        <v>517</v>
      </c>
      <c r="AI8" s="2">
        <v>572.9</v>
      </c>
      <c r="AJ8" s="2">
        <v>635.1</v>
      </c>
      <c r="AK8" s="2">
        <v>724.2</v>
      </c>
      <c r="AL8" s="2">
        <f>SUM(C8:F8)</f>
        <v>723.7</v>
      </c>
      <c r="AM8" s="2">
        <f>SUM(G8:J8)</f>
        <v>916.2</v>
      </c>
      <c r="AN8" s="2">
        <f>SUM(K8:N8)</f>
        <v>1024.2</v>
      </c>
      <c r="AO8" s="2">
        <f>SUM(O8:R8)</f>
        <v>1167.8</v>
      </c>
      <c r="AP8" s="2">
        <f>SUM(S8:V8)</f>
        <v>1307.0999999999999</v>
      </c>
      <c r="AQ8" s="2">
        <f>SUM(W8:Z8)</f>
        <v>1572.1</v>
      </c>
      <c r="AR8" s="2">
        <f>SUM(AA8:AD8)</f>
        <v>1805.79</v>
      </c>
      <c r="AS8" s="2">
        <f>+AR8*1.1</f>
        <v>1986.3690000000001</v>
      </c>
      <c r="AT8" s="2">
        <f>+AS8*1.1</f>
        <v>2185.0059000000001</v>
      </c>
      <c r="AU8" s="2">
        <f>+AT8*1.1</f>
        <v>2403.5064900000002</v>
      </c>
      <c r="AV8" s="2">
        <f>+AU8*1.1</f>
        <v>2643.8571390000006</v>
      </c>
      <c r="AW8" s="2">
        <f t="shared" si="2"/>
        <v>2908.2428529000008</v>
      </c>
      <c r="AX8" s="2">
        <f t="shared" si="2"/>
        <v>3199.0671381900011</v>
      </c>
      <c r="AY8" s="2">
        <f t="shared" si="2"/>
        <v>3518.9738520090013</v>
      </c>
      <c r="AZ8" s="2">
        <f t="shared" si="2"/>
        <v>3870.8712372099017</v>
      </c>
      <c r="BA8" s="2">
        <f t="shared" si="2"/>
        <v>4257.958360930892</v>
      </c>
    </row>
    <row r="9" spans="1:53" s="5" customFormat="1" ht="13" x14ac:dyDescent="0.3">
      <c r="B9" s="5" t="s">
        <v>8</v>
      </c>
      <c r="C9" s="6">
        <f>+C7+C8</f>
        <v>1099.5</v>
      </c>
      <c r="D9" s="6">
        <f t="shared" ref="D9:E9" si="9">+D7+D8</f>
        <v>852.09999999999991</v>
      </c>
      <c r="E9" s="6">
        <f t="shared" si="9"/>
        <v>1077.7</v>
      </c>
      <c r="F9" s="6">
        <f t="shared" ref="F9:N9" si="10">+F7+F8</f>
        <v>1329.1000000000001</v>
      </c>
      <c r="G9" s="6">
        <f t="shared" si="10"/>
        <v>1292.0999999999999</v>
      </c>
      <c r="H9" s="6">
        <f t="shared" si="10"/>
        <v>1464</v>
      </c>
      <c r="I9" s="6">
        <f t="shared" si="10"/>
        <v>1403.3</v>
      </c>
      <c r="J9" s="6">
        <f t="shared" si="10"/>
        <v>1550.6999999999998</v>
      </c>
      <c r="K9" s="6">
        <f t="shared" si="10"/>
        <v>1487.7</v>
      </c>
      <c r="L9" s="6">
        <f t="shared" si="10"/>
        <v>1522.1000000000001</v>
      </c>
      <c r="M9" s="6">
        <f t="shared" si="10"/>
        <v>1557.4</v>
      </c>
      <c r="N9" s="6">
        <f t="shared" si="10"/>
        <v>1655</v>
      </c>
      <c r="O9" s="6">
        <f t="shared" ref="O9" si="11">+O7+O8</f>
        <v>1696.2</v>
      </c>
      <c r="P9" s="6">
        <f t="shared" ref="P9" si="12">+P7+P8</f>
        <v>1755.9</v>
      </c>
      <c r="Q9" s="6">
        <f t="shared" ref="Q9" si="13">+Q7+Q8</f>
        <v>1743.7000000000003</v>
      </c>
      <c r="R9" s="6">
        <f t="shared" ref="R9" si="14">+R7+R8</f>
        <v>1928.3000000000002</v>
      </c>
      <c r="S9" s="6">
        <f t="shared" ref="S9" si="15">+S7+S8</f>
        <v>1890.6000000000001</v>
      </c>
      <c r="T9" s="6">
        <f t="shared" ref="T9" si="16">+T7+T8</f>
        <v>2009.9</v>
      </c>
      <c r="U9" s="6">
        <f t="shared" ref="U9" si="17">+U7+U8</f>
        <v>2038.1</v>
      </c>
      <c r="V9" s="6">
        <f t="shared" ref="V9:AD9" si="18">+V7+V8</f>
        <v>2413.5</v>
      </c>
      <c r="W9" s="6">
        <f t="shared" si="18"/>
        <v>2253.4</v>
      </c>
      <c r="X9" s="6">
        <f t="shared" si="18"/>
        <v>2440</v>
      </c>
      <c r="Y9" s="6">
        <f t="shared" si="18"/>
        <v>2505.1</v>
      </c>
      <c r="Z9" s="6">
        <f t="shared" si="18"/>
        <v>2866.2</v>
      </c>
      <c r="AA9" s="6">
        <f t="shared" si="18"/>
        <v>2770.8</v>
      </c>
      <c r="AB9" s="6">
        <f t="shared" si="18"/>
        <v>2892.3</v>
      </c>
      <c r="AC9" s="6">
        <f t="shared" si="18"/>
        <v>2755.6099999999997</v>
      </c>
      <c r="AD9" s="6">
        <f t="shared" si="18"/>
        <v>3152.8199999999997</v>
      </c>
      <c r="AE9" s="6"/>
      <c r="AF9" s="6"/>
      <c r="AH9" s="5">
        <f t="shared" ref="AH9" si="19">+AH7+AH8</f>
        <v>2704.4</v>
      </c>
      <c r="AI9" s="5">
        <f t="shared" ref="AI9:AN9" si="20">+AI7+AI8</f>
        <v>3138.2000000000003</v>
      </c>
      <c r="AJ9" s="5">
        <f t="shared" si="20"/>
        <v>3724.2</v>
      </c>
      <c r="AK9" s="5">
        <f t="shared" si="20"/>
        <v>4478.5</v>
      </c>
      <c r="AL9" s="5">
        <f t="shared" si="20"/>
        <v>4358.3999999999996</v>
      </c>
      <c r="AM9" s="5">
        <f t="shared" si="20"/>
        <v>5710.0999999999995</v>
      </c>
      <c r="AN9" s="5">
        <f t="shared" si="20"/>
        <v>6222.2</v>
      </c>
      <c r="AO9" s="5">
        <f t="shared" ref="AO9:BA9" si="21">+AO7+AO8</f>
        <v>7124.1</v>
      </c>
      <c r="AP9" s="5">
        <f t="shared" si="21"/>
        <v>8352.1</v>
      </c>
      <c r="AQ9" s="5">
        <f t="shared" si="21"/>
        <v>10064.700000000001</v>
      </c>
      <c r="AR9" s="5">
        <f t="shared" si="21"/>
        <v>11571.530000000002</v>
      </c>
      <c r="AS9" s="5">
        <f t="shared" si="21"/>
        <v>12728.683000000003</v>
      </c>
      <c r="AT9" s="5">
        <f t="shared" si="21"/>
        <v>14001.551300000003</v>
      </c>
      <c r="AU9" s="5">
        <f t="shared" si="21"/>
        <v>15401.706430000004</v>
      </c>
      <c r="AV9" s="5">
        <f t="shared" si="21"/>
        <v>16941.877073000007</v>
      </c>
      <c r="AW9" s="5">
        <f t="shared" si="21"/>
        <v>18636.06478030001</v>
      </c>
      <c r="AX9" s="5">
        <f t="shared" si="21"/>
        <v>20499.67125833001</v>
      </c>
      <c r="AY9" s="5">
        <f t="shared" si="21"/>
        <v>22549.638384163016</v>
      </c>
      <c r="AZ9" s="5">
        <f t="shared" si="21"/>
        <v>24804.602222579313</v>
      </c>
      <c r="BA9" s="5">
        <f t="shared" si="21"/>
        <v>27285.062444837247</v>
      </c>
    </row>
    <row r="10" spans="1:53" s="2" customFormat="1" x14ac:dyDescent="0.25">
      <c r="B10" s="2" t="s">
        <v>22</v>
      </c>
      <c r="C10" s="4">
        <v>361.3</v>
      </c>
      <c r="D10" s="4">
        <v>349.2</v>
      </c>
      <c r="E10" s="4">
        <v>353.4</v>
      </c>
      <c r="F10" s="4">
        <v>433.3</v>
      </c>
      <c r="G10" s="4">
        <v>389.5</v>
      </c>
      <c r="H10" s="4">
        <v>440.3</v>
      </c>
      <c r="I10" s="4">
        <v>431.9</v>
      </c>
      <c r="J10" s="4">
        <v>489.9</v>
      </c>
      <c r="K10" s="4">
        <v>478</v>
      </c>
      <c r="L10" s="4">
        <v>498.8</v>
      </c>
      <c r="M10" s="4">
        <v>505.3</v>
      </c>
      <c r="N10" s="4">
        <v>544.1</v>
      </c>
      <c r="O10" s="4">
        <v>583.20000000000005</v>
      </c>
      <c r="P10" s="4">
        <v>584</v>
      </c>
      <c r="Q10" s="4">
        <v>576.5</v>
      </c>
      <c r="R10" s="4">
        <v>650.9</v>
      </c>
      <c r="S10" s="4">
        <v>645.20000000000005</v>
      </c>
      <c r="T10" s="4">
        <v>637.20000000000005</v>
      </c>
      <c r="U10" s="4">
        <v>664.2</v>
      </c>
      <c r="V10" s="4">
        <v>771.3</v>
      </c>
      <c r="W10" s="4">
        <v>795.7</v>
      </c>
      <c r="X10" s="4">
        <v>822.1</v>
      </c>
      <c r="Y10" s="4">
        <v>842.7</v>
      </c>
      <c r="Z10" s="4">
        <v>961.9</v>
      </c>
      <c r="AA10" s="4">
        <v>940.3</v>
      </c>
      <c r="AB10" s="4">
        <v>931.9</v>
      </c>
      <c r="AC10" s="4">
        <f>+AC9-AC11</f>
        <v>964.46349999999984</v>
      </c>
      <c r="AD10" s="4">
        <f>+AD9-AD11</f>
        <v>1103.4869999999996</v>
      </c>
      <c r="AE10" s="4"/>
      <c r="AF10" s="4"/>
      <c r="AH10" s="2">
        <v>814.3</v>
      </c>
      <c r="AI10" s="2">
        <v>936.2</v>
      </c>
      <c r="AJ10" s="2">
        <v>1120.0999999999999</v>
      </c>
      <c r="AK10" s="2">
        <v>1368.3</v>
      </c>
      <c r="AL10" s="2">
        <f>SUM(C10:F10)</f>
        <v>1497.2</v>
      </c>
      <c r="AM10" s="2">
        <f>SUM(G10:J10)</f>
        <v>1751.6</v>
      </c>
      <c r="AN10" s="2">
        <f>SUM(K10:N10)</f>
        <v>2026.1999999999998</v>
      </c>
      <c r="AO10" s="2">
        <f>SUM(O10:R10)</f>
        <v>2394.6</v>
      </c>
      <c r="AP10" s="2">
        <f>SUM(S10:V10)</f>
        <v>2717.9</v>
      </c>
      <c r="AQ10" s="2">
        <f>SUM(W10:Z10)</f>
        <v>3422.4</v>
      </c>
      <c r="AR10" s="2">
        <f>SUM(AA10:AD10)</f>
        <v>3940.1504999999993</v>
      </c>
      <c r="AS10" s="2">
        <f t="shared" ref="AQ10:BA10" si="22">+AS9-AS11</f>
        <v>4200.4653900000012</v>
      </c>
      <c r="AT10" s="2">
        <f t="shared" si="22"/>
        <v>4620.5119290000002</v>
      </c>
      <c r="AU10" s="2">
        <f t="shared" si="22"/>
        <v>5082.5631219000006</v>
      </c>
      <c r="AV10" s="2">
        <f t="shared" si="22"/>
        <v>5590.8194340900009</v>
      </c>
      <c r="AW10" s="2">
        <f t="shared" si="22"/>
        <v>6149.9013774990035</v>
      </c>
      <c r="AX10" s="2">
        <f t="shared" si="22"/>
        <v>6764.8915152489026</v>
      </c>
      <c r="AY10" s="2">
        <f t="shared" si="22"/>
        <v>7441.3806667737936</v>
      </c>
      <c r="AZ10" s="2">
        <f t="shared" si="22"/>
        <v>8185.518733451172</v>
      </c>
      <c r="BA10" s="2">
        <f t="shared" si="22"/>
        <v>9004.0706067962892</v>
      </c>
    </row>
    <row r="11" spans="1:53" s="2" customFormat="1" x14ac:dyDescent="0.25">
      <c r="B11" s="2" t="s">
        <v>23</v>
      </c>
      <c r="C11" s="4">
        <f>+C9-C10</f>
        <v>738.2</v>
      </c>
      <c r="D11" s="4">
        <f t="shared" ref="D11:E11" si="23">+D9-D10</f>
        <v>502.89999999999992</v>
      </c>
      <c r="E11" s="4">
        <f t="shared" si="23"/>
        <v>724.30000000000007</v>
      </c>
      <c r="F11" s="4">
        <f t="shared" ref="F11:L11" si="24">+F9-F10</f>
        <v>895.80000000000018</v>
      </c>
      <c r="G11" s="4">
        <f t="shared" si="24"/>
        <v>902.59999999999991</v>
      </c>
      <c r="H11" s="4">
        <f t="shared" si="24"/>
        <v>1023.7</v>
      </c>
      <c r="I11" s="4">
        <f t="shared" si="24"/>
        <v>971.4</v>
      </c>
      <c r="J11" s="4">
        <f t="shared" si="24"/>
        <v>1060.7999999999997</v>
      </c>
      <c r="K11" s="4">
        <f t="shared" si="24"/>
        <v>1009.7</v>
      </c>
      <c r="L11" s="4">
        <f t="shared" si="24"/>
        <v>1023.3000000000002</v>
      </c>
      <c r="M11" s="4">
        <f>+M9-M10</f>
        <v>1052.1000000000001</v>
      </c>
      <c r="N11" s="4">
        <f>+N9-N10</f>
        <v>1110.9000000000001</v>
      </c>
      <c r="O11" s="4">
        <f t="shared" ref="O11:U11" si="25">+O9-O10</f>
        <v>1113</v>
      </c>
      <c r="P11" s="4">
        <f t="shared" si="25"/>
        <v>1171.9000000000001</v>
      </c>
      <c r="Q11" s="4">
        <f t="shared" si="25"/>
        <v>1167.2000000000003</v>
      </c>
      <c r="R11" s="4">
        <f t="shared" si="25"/>
        <v>1277.4000000000001</v>
      </c>
      <c r="S11" s="4">
        <f t="shared" si="25"/>
        <v>1245.4000000000001</v>
      </c>
      <c r="T11" s="4">
        <f t="shared" si="25"/>
        <v>1372.7</v>
      </c>
      <c r="U11" s="4">
        <f t="shared" si="25"/>
        <v>1373.8999999999999</v>
      </c>
      <c r="V11" s="4">
        <f>+V9-V10</f>
        <v>1642.2</v>
      </c>
      <c r="W11" s="4">
        <f>+W9-W10</f>
        <v>1457.7</v>
      </c>
      <c r="X11" s="4">
        <f>+X9-X10</f>
        <v>1617.9</v>
      </c>
      <c r="Y11" s="4">
        <f>+Y9-Y10</f>
        <v>1662.3999999999999</v>
      </c>
      <c r="Z11" s="4">
        <f>+Z9-Z10</f>
        <v>1904.2999999999997</v>
      </c>
      <c r="AA11" s="4">
        <f>+AA9-AA10</f>
        <v>1830.5000000000002</v>
      </c>
      <c r="AB11" s="4">
        <f>+AB9-AB10</f>
        <v>1960.4</v>
      </c>
      <c r="AC11" s="4">
        <f>+AC9*0.65</f>
        <v>1791.1464999999998</v>
      </c>
      <c r="AD11" s="4">
        <f>+AD9*0.65</f>
        <v>2049.3330000000001</v>
      </c>
      <c r="AE11" s="4"/>
      <c r="AF11" s="4"/>
      <c r="AH11" s="2">
        <f t="shared" ref="AH11" si="26">+AH9-AH10</f>
        <v>1890.1000000000001</v>
      </c>
      <c r="AI11" s="2">
        <f t="shared" ref="AI11:AN11" si="27">+AI9-AI10</f>
        <v>2202</v>
      </c>
      <c r="AJ11" s="2">
        <f t="shared" si="27"/>
        <v>2604.1</v>
      </c>
      <c r="AK11" s="2">
        <f t="shared" si="27"/>
        <v>3110.2</v>
      </c>
      <c r="AL11" s="2">
        <f t="shared" si="27"/>
        <v>2861.2</v>
      </c>
      <c r="AM11" s="2">
        <f t="shared" si="27"/>
        <v>3958.4999999999995</v>
      </c>
      <c r="AN11" s="2">
        <f t="shared" si="27"/>
        <v>4196</v>
      </c>
      <c r="AO11" s="2">
        <f>+AO9-AO10</f>
        <v>4729.5</v>
      </c>
      <c r="AP11" s="2">
        <f>+AP9-AP10</f>
        <v>5634.2000000000007</v>
      </c>
      <c r="AQ11" s="2">
        <f>+AQ9-AQ10</f>
        <v>6642.3000000000011</v>
      </c>
      <c r="AR11" s="2">
        <f>+AR9-AR10</f>
        <v>7631.3795000000027</v>
      </c>
      <c r="AS11" s="2">
        <f t="shared" ref="AQ11:BA11" si="28">+AS9*0.67</f>
        <v>8528.2176100000015</v>
      </c>
      <c r="AT11" s="2">
        <f t="shared" si="28"/>
        <v>9381.0393710000026</v>
      </c>
      <c r="AU11" s="2">
        <f t="shared" si="28"/>
        <v>10319.143308100003</v>
      </c>
      <c r="AV11" s="2">
        <f t="shared" si="28"/>
        <v>11351.057638910006</v>
      </c>
      <c r="AW11" s="2">
        <f t="shared" si="28"/>
        <v>12486.163402801007</v>
      </c>
      <c r="AX11" s="2">
        <f t="shared" si="28"/>
        <v>13734.779743081108</v>
      </c>
      <c r="AY11" s="2">
        <f t="shared" si="28"/>
        <v>15108.257717389222</v>
      </c>
      <c r="AZ11" s="2">
        <f t="shared" si="28"/>
        <v>16619.083489128141</v>
      </c>
      <c r="BA11" s="2">
        <f t="shared" si="28"/>
        <v>18280.991838040958</v>
      </c>
    </row>
    <row r="12" spans="1:53" s="2" customFormat="1" x14ac:dyDescent="0.25">
      <c r="B12" s="2" t="s">
        <v>24</v>
      </c>
      <c r="C12" s="4">
        <v>308.10000000000002</v>
      </c>
      <c r="D12" s="4">
        <v>279.10000000000002</v>
      </c>
      <c r="E12" s="4">
        <v>298.89999999999998</v>
      </c>
      <c r="F12" s="4">
        <v>330.2</v>
      </c>
      <c r="G12" s="4">
        <v>326</v>
      </c>
      <c r="H12" s="4">
        <v>350.2</v>
      </c>
      <c r="I12" s="4">
        <v>363.3</v>
      </c>
      <c r="J12" s="4">
        <v>427</v>
      </c>
      <c r="K12" s="4">
        <v>391.1</v>
      </c>
      <c r="L12" s="4">
        <v>418.4</v>
      </c>
      <c r="M12" s="4">
        <v>436.1</v>
      </c>
      <c r="N12" s="4">
        <v>494.3</v>
      </c>
      <c r="O12" s="4">
        <v>480.5</v>
      </c>
      <c r="P12" s="4">
        <v>464.3</v>
      </c>
      <c r="Q12" s="4">
        <v>452</v>
      </c>
      <c r="R12" s="4">
        <v>567.1</v>
      </c>
      <c r="S12" s="4">
        <v>491.5</v>
      </c>
      <c r="T12" s="4">
        <v>525.29999999999995</v>
      </c>
      <c r="U12" s="4">
        <v>510.6</v>
      </c>
      <c r="V12" s="4">
        <v>612.6</v>
      </c>
      <c r="W12" s="4">
        <v>563.4</v>
      </c>
      <c r="X12" s="4">
        <v>561.20000000000005</v>
      </c>
      <c r="Y12" s="4">
        <v>573.29999999999995</v>
      </c>
      <c r="Z12" s="4">
        <v>687.1</v>
      </c>
      <c r="AA12" s="4">
        <v>613.29999999999995</v>
      </c>
      <c r="AB12" s="4">
        <v>617.9</v>
      </c>
      <c r="AC12" s="4">
        <v>573.29999999999995</v>
      </c>
      <c r="AD12" s="4">
        <v>573.29999999999995</v>
      </c>
      <c r="AE12" s="4"/>
      <c r="AF12" s="4"/>
      <c r="AH12" s="2">
        <v>705.3</v>
      </c>
      <c r="AI12" s="2">
        <v>810.5</v>
      </c>
      <c r="AJ12" s="2">
        <v>986.6</v>
      </c>
      <c r="AK12" s="2">
        <v>1178.4000000000001</v>
      </c>
      <c r="AL12" s="2">
        <f>SUM(C12:F12)</f>
        <v>1216.3</v>
      </c>
      <c r="AM12" s="2">
        <f>SUM(G12:J12)</f>
        <v>1466.5</v>
      </c>
      <c r="AN12" s="2">
        <f>SUM(K12:N12)</f>
        <v>1739.8999999999999</v>
      </c>
      <c r="AO12" s="2">
        <f>SUM(O12:R12)</f>
        <v>1963.9</v>
      </c>
      <c r="AP12" s="2">
        <f>SUM(S12:V12)</f>
        <v>2140</v>
      </c>
      <c r="AQ12" s="2">
        <f t="shared" ref="AQ12:AQ13" si="29">SUM(W12:Z12)</f>
        <v>2385</v>
      </c>
      <c r="AR12" s="2">
        <f>SUM(AA12:AD12)</f>
        <v>2377.7999999999997</v>
      </c>
      <c r="AS12" s="2">
        <f t="shared" ref="AQ12:AV12" si="30">+AR12*1.01</f>
        <v>2401.5779999999995</v>
      </c>
      <c r="AT12" s="2">
        <f t="shared" si="30"/>
        <v>2425.5937799999997</v>
      </c>
      <c r="AU12" s="2">
        <f t="shared" si="30"/>
        <v>2449.8497177999998</v>
      </c>
      <c r="AV12" s="2">
        <f t="shared" si="30"/>
        <v>2474.3482149779998</v>
      </c>
      <c r="AW12" s="2">
        <f t="shared" ref="AW12:AW13" si="31">+AV12*1.01</f>
        <v>2499.0916971277798</v>
      </c>
      <c r="AX12" s="2">
        <f t="shared" ref="AX12:AX13" si="32">+AW12*1.01</f>
        <v>2524.0826140990575</v>
      </c>
      <c r="AY12" s="2">
        <f t="shared" ref="AY12:AY13" si="33">+AX12*1.01</f>
        <v>2549.3234402400481</v>
      </c>
      <c r="AZ12" s="2">
        <f t="shared" ref="AZ12:AZ13" si="34">+AY12*1.01</f>
        <v>2574.8166746424486</v>
      </c>
      <c r="BA12" s="2">
        <f t="shared" ref="BA12:BA13" si="35">+AZ12*1.01</f>
        <v>2600.564841388873</v>
      </c>
    </row>
    <row r="13" spans="1:53" s="2" customFormat="1" x14ac:dyDescent="0.25">
      <c r="B13" s="2" t="s">
        <v>25</v>
      </c>
      <c r="C13" s="4">
        <v>147.1</v>
      </c>
      <c r="D13" s="4">
        <v>143.19999999999999</v>
      </c>
      <c r="E13" s="4">
        <v>155</v>
      </c>
      <c r="F13" s="4">
        <v>149.80000000000001</v>
      </c>
      <c r="G13" s="4">
        <v>159.80000000000001</v>
      </c>
      <c r="H13" s="4">
        <v>162.30000000000001</v>
      </c>
      <c r="I13" s="4">
        <v>165.5</v>
      </c>
      <c r="J13" s="4">
        <v>183.4</v>
      </c>
      <c r="K13" s="4">
        <v>210.5</v>
      </c>
      <c r="L13" s="4">
        <v>207.3</v>
      </c>
      <c r="M13" s="4">
        <v>217.1</v>
      </c>
      <c r="N13" s="4">
        <v>244.1</v>
      </c>
      <c r="O13" s="4">
        <v>244.9</v>
      </c>
      <c r="P13" s="4">
        <v>244.4</v>
      </c>
      <c r="Q13" s="4">
        <v>249.4</v>
      </c>
      <c r="R13" s="4">
        <v>260.10000000000002</v>
      </c>
      <c r="S13" s="4">
        <v>284.5</v>
      </c>
      <c r="T13" s="4">
        <v>280.10000000000002</v>
      </c>
      <c r="U13" s="4">
        <v>286</v>
      </c>
      <c r="V13" s="4">
        <v>294.7</v>
      </c>
      <c r="W13" s="4">
        <v>316.2</v>
      </c>
      <c r="X13" s="4">
        <v>313.3</v>
      </c>
      <c r="Y13" s="4">
        <v>329.4</v>
      </c>
      <c r="Z13" s="4">
        <v>352.9</v>
      </c>
      <c r="AA13" s="4">
        <v>361.9</v>
      </c>
      <c r="AB13" s="4">
        <v>370.6</v>
      </c>
      <c r="AC13" s="4">
        <v>573.29999999999995</v>
      </c>
      <c r="AD13" s="4">
        <v>573.29999999999995</v>
      </c>
      <c r="AE13" s="4"/>
      <c r="AF13" s="4"/>
      <c r="AH13" s="2">
        <v>239.6</v>
      </c>
      <c r="AI13" s="2">
        <v>328.6</v>
      </c>
      <c r="AJ13" s="2">
        <v>418.1</v>
      </c>
      <c r="AK13" s="2">
        <v>557.29999999999995</v>
      </c>
      <c r="AL13" s="2">
        <f>SUM(C13:F13)</f>
        <v>595.09999999999991</v>
      </c>
      <c r="AM13" s="2">
        <f>SUM(G13:J13)</f>
        <v>671</v>
      </c>
      <c r="AN13" s="2">
        <f>SUM(K13:N13)</f>
        <v>879</v>
      </c>
      <c r="AO13" s="2">
        <f>SUM(O13:R13)</f>
        <v>998.80000000000007</v>
      </c>
      <c r="AP13" s="2">
        <f>SUM(S13:V13)</f>
        <v>1145.3</v>
      </c>
      <c r="AQ13" s="2">
        <f t="shared" si="29"/>
        <v>1311.8</v>
      </c>
      <c r="AR13" s="2">
        <f>SUM(AA13:AD13)</f>
        <v>1879.1</v>
      </c>
      <c r="AS13" s="2">
        <f t="shared" ref="AQ13:AV13" si="36">+AR13*1.01</f>
        <v>1897.8909999999998</v>
      </c>
      <c r="AT13" s="2">
        <f t="shared" si="36"/>
        <v>1916.8699099999999</v>
      </c>
      <c r="AU13" s="2">
        <f t="shared" si="36"/>
        <v>1936.0386090999998</v>
      </c>
      <c r="AV13" s="2">
        <f t="shared" si="36"/>
        <v>1955.3989951909998</v>
      </c>
      <c r="AW13" s="2">
        <f t="shared" si="31"/>
        <v>1974.9529851429099</v>
      </c>
      <c r="AX13" s="2">
        <f t="shared" si="32"/>
        <v>1994.702514994339</v>
      </c>
      <c r="AY13" s="2">
        <f t="shared" si="33"/>
        <v>2014.6495401442824</v>
      </c>
      <c r="AZ13" s="2">
        <f t="shared" si="34"/>
        <v>2034.7960355457251</v>
      </c>
      <c r="BA13" s="2">
        <f t="shared" si="35"/>
        <v>2055.1439959011823</v>
      </c>
    </row>
    <row r="14" spans="1:53" s="2" customFormat="1" x14ac:dyDescent="0.25">
      <c r="B14" s="2" t="s">
        <v>26</v>
      </c>
      <c r="C14" s="4">
        <f>+C12+C13</f>
        <v>455.20000000000005</v>
      </c>
      <c r="D14" s="4">
        <f t="shared" ref="D14:E14" si="37">+D12+D13</f>
        <v>422.3</v>
      </c>
      <c r="E14" s="4">
        <f t="shared" si="37"/>
        <v>453.9</v>
      </c>
      <c r="F14" s="4">
        <f t="shared" ref="F14:N14" si="38">+F12+F13</f>
        <v>480</v>
      </c>
      <c r="G14" s="4">
        <f t="shared" si="38"/>
        <v>485.8</v>
      </c>
      <c r="H14" s="4">
        <f t="shared" si="38"/>
        <v>512.5</v>
      </c>
      <c r="I14" s="4">
        <f t="shared" si="38"/>
        <v>528.79999999999995</v>
      </c>
      <c r="J14" s="4">
        <f t="shared" si="38"/>
        <v>610.4</v>
      </c>
      <c r="K14" s="4">
        <f t="shared" si="38"/>
        <v>601.6</v>
      </c>
      <c r="L14" s="4">
        <f t="shared" si="38"/>
        <v>625.70000000000005</v>
      </c>
      <c r="M14" s="4">
        <f t="shared" si="38"/>
        <v>653.20000000000005</v>
      </c>
      <c r="N14" s="4">
        <f t="shared" si="38"/>
        <v>738.4</v>
      </c>
      <c r="O14" s="4">
        <f t="shared" ref="O14" si="39">+O12+O13</f>
        <v>725.4</v>
      </c>
      <c r="P14" s="4">
        <f t="shared" ref="P14" si="40">+P12+P13</f>
        <v>708.7</v>
      </c>
      <c r="Q14" s="4">
        <f t="shared" ref="Q14" si="41">+Q12+Q13</f>
        <v>701.4</v>
      </c>
      <c r="R14" s="4">
        <f t="shared" ref="R14" si="42">+R12+R13</f>
        <v>827.2</v>
      </c>
      <c r="S14" s="4">
        <f t="shared" ref="S14" si="43">+S12+S13</f>
        <v>776</v>
      </c>
      <c r="T14" s="4">
        <f t="shared" ref="T14" si="44">+T12+T13</f>
        <v>805.4</v>
      </c>
      <c r="U14" s="4">
        <f t="shared" ref="U14" si="45">+U12+U13</f>
        <v>796.6</v>
      </c>
      <c r="V14" s="4">
        <f t="shared" ref="V14:AA14" si="46">+V12+V13</f>
        <v>907.3</v>
      </c>
      <c r="W14" s="4">
        <f t="shared" si="46"/>
        <v>879.59999999999991</v>
      </c>
      <c r="X14" s="4">
        <f t="shared" si="46"/>
        <v>874.5</v>
      </c>
      <c r="Y14" s="4">
        <f t="shared" si="46"/>
        <v>902.69999999999993</v>
      </c>
      <c r="Z14" s="4">
        <f t="shared" si="46"/>
        <v>1040</v>
      </c>
      <c r="AA14" s="4">
        <f t="shared" si="46"/>
        <v>975.19999999999993</v>
      </c>
      <c r="AB14" s="4">
        <f t="shared" ref="AB14:AD14" si="47">+AB12+AB13</f>
        <v>988.5</v>
      </c>
      <c r="AC14" s="4">
        <f t="shared" si="47"/>
        <v>1146.5999999999999</v>
      </c>
      <c r="AD14" s="4">
        <f t="shared" si="47"/>
        <v>1146.5999999999999</v>
      </c>
      <c r="AE14" s="4"/>
      <c r="AF14" s="4"/>
      <c r="AH14" s="2">
        <f t="shared" ref="AH14" si="48">+AH12+AH13</f>
        <v>944.9</v>
      </c>
      <c r="AI14" s="2">
        <f t="shared" ref="AI14:AN14" si="49">+AI12+AI13</f>
        <v>1139.0999999999999</v>
      </c>
      <c r="AJ14" s="2">
        <f t="shared" si="49"/>
        <v>1404.7</v>
      </c>
      <c r="AK14" s="2">
        <f t="shared" si="49"/>
        <v>1735.7</v>
      </c>
      <c r="AL14" s="2">
        <f t="shared" si="49"/>
        <v>1811.3999999999999</v>
      </c>
      <c r="AM14" s="2">
        <f t="shared" si="49"/>
        <v>2137.5</v>
      </c>
      <c r="AN14" s="2">
        <f t="shared" si="49"/>
        <v>2618.8999999999996</v>
      </c>
      <c r="AO14" s="2">
        <f t="shared" ref="AO14:AV14" si="50">+AO12+AO13</f>
        <v>2962.7000000000003</v>
      </c>
      <c r="AP14" s="2">
        <f t="shared" si="50"/>
        <v>3285.3</v>
      </c>
      <c r="AQ14" s="2">
        <f t="shared" si="50"/>
        <v>3696.8</v>
      </c>
      <c r="AR14" s="2">
        <f t="shared" si="50"/>
        <v>4256.8999999999996</v>
      </c>
      <c r="AS14" s="2">
        <f t="shared" si="50"/>
        <v>4299.4689999999991</v>
      </c>
      <c r="AT14" s="2">
        <f t="shared" si="50"/>
        <v>4342.4636899999996</v>
      </c>
      <c r="AU14" s="2">
        <f t="shared" si="50"/>
        <v>4385.8883268999998</v>
      </c>
      <c r="AV14" s="2">
        <f t="shared" si="50"/>
        <v>4429.747210169</v>
      </c>
      <c r="AW14" s="2">
        <f t="shared" ref="AW14:BA14" si="51">+AW12+AW13</f>
        <v>4474.0446822706899</v>
      </c>
      <c r="AX14" s="2">
        <f t="shared" si="51"/>
        <v>4518.7851290933968</v>
      </c>
      <c r="AY14" s="2">
        <f t="shared" si="51"/>
        <v>4563.9729803843302</v>
      </c>
      <c r="AZ14" s="2">
        <f t="shared" si="51"/>
        <v>4609.6127101881739</v>
      </c>
      <c r="BA14" s="2">
        <f t="shared" si="51"/>
        <v>4655.7088372900553</v>
      </c>
    </row>
    <row r="15" spans="1:53" s="2" customFormat="1" x14ac:dyDescent="0.25">
      <c r="B15" s="2" t="s">
        <v>27</v>
      </c>
      <c r="C15" s="4">
        <f>+C11-C14</f>
        <v>283</v>
      </c>
      <c r="D15" s="4">
        <f t="shared" ref="D15:E15" si="52">+D11-D14</f>
        <v>80.599999999999909</v>
      </c>
      <c r="E15" s="4">
        <f t="shared" si="52"/>
        <v>270.40000000000009</v>
      </c>
      <c r="F15" s="4">
        <f t="shared" ref="F15:N15" si="53">+F11-F14</f>
        <v>415.80000000000018</v>
      </c>
      <c r="G15" s="4">
        <f t="shared" si="53"/>
        <v>416.7999999999999</v>
      </c>
      <c r="H15" s="4">
        <f t="shared" si="53"/>
        <v>511.20000000000005</v>
      </c>
      <c r="I15" s="4">
        <f t="shared" si="53"/>
        <v>442.6</v>
      </c>
      <c r="J15" s="4">
        <f t="shared" si="53"/>
        <v>450.39999999999975</v>
      </c>
      <c r="K15" s="4">
        <f t="shared" si="53"/>
        <v>408.1</v>
      </c>
      <c r="L15" s="4">
        <f t="shared" si="53"/>
        <v>397.60000000000014</v>
      </c>
      <c r="M15" s="4">
        <f t="shared" si="53"/>
        <v>398.90000000000009</v>
      </c>
      <c r="N15" s="4">
        <f t="shared" si="53"/>
        <v>372.50000000000011</v>
      </c>
      <c r="O15" s="4">
        <f t="shared" ref="O15" si="54">+O11-O14</f>
        <v>387.6</v>
      </c>
      <c r="P15" s="4">
        <f t="shared" ref="P15" si="55">+P11-P14</f>
        <v>463.20000000000005</v>
      </c>
      <c r="Q15" s="4">
        <f t="shared" ref="Q15" si="56">+Q11-Q14</f>
        <v>465.8000000000003</v>
      </c>
      <c r="R15" s="4">
        <f t="shared" ref="R15" si="57">+R11-R14</f>
        <v>450.20000000000005</v>
      </c>
      <c r="S15" s="4">
        <f t="shared" ref="S15" si="58">+S11-S14</f>
        <v>469.40000000000009</v>
      </c>
      <c r="T15" s="4">
        <f t="shared" ref="T15" si="59">+T11-T14</f>
        <v>567.30000000000007</v>
      </c>
      <c r="U15" s="4">
        <f t="shared" ref="U15" si="60">+U11-U14</f>
        <v>577.29999999999984</v>
      </c>
      <c r="V15" s="4">
        <f t="shared" ref="V15:AA15" si="61">+V11-V14</f>
        <v>734.90000000000009</v>
      </c>
      <c r="W15" s="4">
        <f t="shared" si="61"/>
        <v>578.10000000000014</v>
      </c>
      <c r="X15" s="4">
        <f t="shared" si="61"/>
        <v>743.40000000000009</v>
      </c>
      <c r="Y15" s="4">
        <f t="shared" si="61"/>
        <v>759.69999999999993</v>
      </c>
      <c r="Z15" s="4">
        <f t="shared" si="61"/>
        <v>864.29999999999973</v>
      </c>
      <c r="AA15" s="4">
        <f t="shared" si="61"/>
        <v>855.3000000000003</v>
      </c>
      <c r="AB15" s="4">
        <f t="shared" ref="AB15:AD15" si="62">+AB11-AB14</f>
        <v>971.90000000000009</v>
      </c>
      <c r="AC15" s="4">
        <f t="shared" si="62"/>
        <v>644.54649999999992</v>
      </c>
      <c r="AD15" s="4">
        <f t="shared" si="62"/>
        <v>902.73300000000017</v>
      </c>
      <c r="AE15" s="4"/>
      <c r="AF15" s="4"/>
      <c r="AH15" s="2">
        <f t="shared" ref="AH15" si="63">+AH11-AH14</f>
        <v>945.20000000000016</v>
      </c>
      <c r="AI15" s="2">
        <f t="shared" ref="AI15:AN15" si="64">+AI11-AI14</f>
        <v>1062.9000000000001</v>
      </c>
      <c r="AJ15" s="2">
        <f t="shared" si="64"/>
        <v>1199.3999999999999</v>
      </c>
      <c r="AK15" s="2">
        <f t="shared" si="64"/>
        <v>1374.4999999999998</v>
      </c>
      <c r="AL15" s="2">
        <f t="shared" si="64"/>
        <v>1049.8</v>
      </c>
      <c r="AM15" s="2">
        <f t="shared" si="64"/>
        <v>1820.9999999999995</v>
      </c>
      <c r="AN15" s="2">
        <f t="shared" si="64"/>
        <v>1577.1000000000004</v>
      </c>
      <c r="AO15" s="2">
        <f t="shared" ref="AO15:AV15" si="65">+AO11-AO14</f>
        <v>1766.7999999999997</v>
      </c>
      <c r="AP15" s="2">
        <f t="shared" si="65"/>
        <v>2348.9000000000005</v>
      </c>
      <c r="AQ15" s="2">
        <f t="shared" si="65"/>
        <v>2945.5000000000009</v>
      </c>
      <c r="AR15" s="2">
        <f t="shared" si="65"/>
        <v>3374.4795000000031</v>
      </c>
      <c r="AS15" s="2">
        <f t="shared" si="65"/>
        <v>4228.7486100000024</v>
      </c>
      <c r="AT15" s="2">
        <f t="shared" si="65"/>
        <v>5038.575681000003</v>
      </c>
      <c r="AU15" s="2">
        <f t="shared" si="65"/>
        <v>5933.2549812000034</v>
      </c>
      <c r="AV15" s="2">
        <f t="shared" si="65"/>
        <v>6921.310428741006</v>
      </c>
      <c r="AW15" s="2">
        <f t="shared" ref="AW15:BA15" si="66">+AW11-AW14</f>
        <v>8012.1187205303168</v>
      </c>
      <c r="AX15" s="2">
        <f t="shared" si="66"/>
        <v>9215.9946139877102</v>
      </c>
      <c r="AY15" s="2">
        <f t="shared" si="66"/>
        <v>10544.284737004891</v>
      </c>
      <c r="AZ15" s="2">
        <f t="shared" si="66"/>
        <v>12009.470778939967</v>
      </c>
      <c r="BA15" s="2">
        <f t="shared" si="66"/>
        <v>13625.283000750904</v>
      </c>
    </row>
    <row r="16" spans="1:53" s="2" customFormat="1" x14ac:dyDescent="0.25">
      <c r="B16" s="2" t="s">
        <v>29</v>
      </c>
      <c r="C16" s="4">
        <v>25.1</v>
      </c>
      <c r="D16" s="4">
        <v>26.6</v>
      </c>
      <c r="E16" s="4">
        <v>84.8</v>
      </c>
      <c r="F16" s="4">
        <v>20.7</v>
      </c>
      <c r="G16" s="4">
        <v>32</v>
      </c>
      <c r="H16" s="4">
        <v>15</v>
      </c>
      <c r="I16" s="4">
        <v>18.5</v>
      </c>
      <c r="J16" s="4">
        <v>3.8</v>
      </c>
      <c r="K16" s="4">
        <v>-5.7</v>
      </c>
      <c r="L16" s="4">
        <v>9.3000000000000007</v>
      </c>
      <c r="M16" s="4">
        <v>3.9</v>
      </c>
      <c r="N16" s="4">
        <v>22.2</v>
      </c>
      <c r="O16" s="4">
        <v>34.200000000000003</v>
      </c>
      <c r="P16" s="4">
        <v>36</v>
      </c>
      <c r="Q16" s="4">
        <v>56.2</v>
      </c>
      <c r="R16" s="4">
        <v>65.7</v>
      </c>
      <c r="S16" s="4">
        <v>69.099999999999994</v>
      </c>
      <c r="T16" s="4">
        <v>87.2</v>
      </c>
      <c r="U16" s="4">
        <v>93.7</v>
      </c>
      <c r="V16" s="4">
        <v>74.900000000000006</v>
      </c>
      <c r="W16" s="4">
        <v>90.4</v>
      </c>
      <c r="X16" s="4">
        <v>88.7</v>
      </c>
      <c r="Y16" s="4">
        <v>95.5</v>
      </c>
      <c r="Z16" s="4">
        <v>91.3</v>
      </c>
      <c r="AA16" s="4">
        <v>85.1</v>
      </c>
      <c r="AB16" s="4">
        <v>82.7</v>
      </c>
      <c r="AC16" s="4">
        <f>+AB16</f>
        <v>82.7</v>
      </c>
      <c r="AD16" s="4">
        <f>+AC16</f>
        <v>82.7</v>
      </c>
      <c r="AE16" s="4"/>
      <c r="AF16" s="4"/>
      <c r="AH16" s="2">
        <v>35.6</v>
      </c>
      <c r="AI16" s="2">
        <v>41.9</v>
      </c>
      <c r="AJ16" s="2">
        <v>80.099999999999994</v>
      </c>
      <c r="AK16" s="2">
        <v>127.7</v>
      </c>
      <c r="AL16" s="2">
        <f>SUM(C16:F16)</f>
        <v>157.19999999999999</v>
      </c>
      <c r="AM16" s="2">
        <f>SUM(G16:J16)</f>
        <v>69.3</v>
      </c>
      <c r="AN16" s="2">
        <f>SUM(K16:N16)</f>
        <v>29.7</v>
      </c>
      <c r="AO16" s="2">
        <f>SUM(O16:R16)</f>
        <v>192.10000000000002</v>
      </c>
      <c r="AP16" s="2">
        <f>SUM(S16:V16)</f>
        <v>324.89999999999998</v>
      </c>
      <c r="AQ16" s="2">
        <f>SUM(W16:Z16)</f>
        <v>365.90000000000003</v>
      </c>
      <c r="AR16" s="2">
        <f>SUM(AA16:AD16)</f>
        <v>333.2</v>
      </c>
      <c r="AS16" s="2">
        <f t="shared" ref="AQ16:BA16" si="67">+AR27*$BF$25</f>
        <v>952.72387875000027</v>
      </c>
      <c r="AT16" s="2">
        <f t="shared" si="67"/>
        <v>1172.9364595218756</v>
      </c>
      <c r="AU16" s="2">
        <f t="shared" si="67"/>
        <v>1436.9257254940553</v>
      </c>
      <c r="AV16" s="2">
        <f t="shared" si="67"/>
        <v>1750.1584055285527</v>
      </c>
      <c r="AW16" s="2">
        <f t="shared" si="67"/>
        <v>2118.6958309850088</v>
      </c>
      <c r="AX16" s="2">
        <f t="shared" si="67"/>
        <v>2549.2554494244105</v>
      </c>
      <c r="AY16" s="2">
        <f t="shared" si="67"/>
        <v>3049.2785771194253</v>
      </c>
      <c r="AZ16" s="2">
        <f t="shared" si="67"/>
        <v>3627.0050179697087</v>
      </c>
      <c r="BA16" s="2">
        <f t="shared" si="67"/>
        <v>4291.5552393383696</v>
      </c>
    </row>
    <row r="17" spans="2:111" s="2" customFormat="1" x14ac:dyDescent="0.25">
      <c r="B17" s="2" t="s">
        <v>30</v>
      </c>
      <c r="C17" s="4">
        <f>+C15+C16</f>
        <v>308.10000000000002</v>
      </c>
      <c r="D17" s="4">
        <f t="shared" ref="D17:E17" si="68">+D15+D16</f>
        <v>107.1999999999999</v>
      </c>
      <c r="E17" s="4">
        <f t="shared" si="68"/>
        <v>355.2000000000001</v>
      </c>
      <c r="F17" s="4">
        <f t="shared" ref="F17:N17" si="69">+F15+F16</f>
        <v>436.50000000000017</v>
      </c>
      <c r="G17" s="4">
        <f t="shared" si="69"/>
        <v>448.7999999999999</v>
      </c>
      <c r="H17" s="4">
        <f t="shared" si="69"/>
        <v>526.20000000000005</v>
      </c>
      <c r="I17" s="4">
        <f t="shared" si="69"/>
        <v>461.1</v>
      </c>
      <c r="J17" s="4">
        <f t="shared" si="69"/>
        <v>454.19999999999976</v>
      </c>
      <c r="K17" s="4">
        <f t="shared" si="69"/>
        <v>402.40000000000003</v>
      </c>
      <c r="L17" s="4">
        <f t="shared" si="69"/>
        <v>406.90000000000015</v>
      </c>
      <c r="M17" s="4">
        <f t="shared" si="69"/>
        <v>402.80000000000007</v>
      </c>
      <c r="N17" s="4">
        <f t="shared" si="69"/>
        <v>394.7000000000001</v>
      </c>
      <c r="O17" s="4">
        <f t="shared" ref="O17" si="70">+O15+O16</f>
        <v>421.8</v>
      </c>
      <c r="P17" s="4">
        <f t="shared" ref="P17" si="71">+P15+P16</f>
        <v>499.20000000000005</v>
      </c>
      <c r="Q17" s="4">
        <f t="shared" ref="Q17" si="72">+Q15+Q16</f>
        <v>522.00000000000034</v>
      </c>
      <c r="R17" s="4">
        <f t="shared" ref="R17" si="73">+R15+R16</f>
        <v>515.90000000000009</v>
      </c>
      <c r="S17" s="4">
        <f t="shared" ref="S17" si="74">+S15+S16</f>
        <v>538.50000000000011</v>
      </c>
      <c r="T17" s="4">
        <f t="shared" ref="T17" si="75">+T15+T16</f>
        <v>654.50000000000011</v>
      </c>
      <c r="U17" s="4">
        <f t="shared" ref="U17" si="76">+U15+U16</f>
        <v>670.99999999999989</v>
      </c>
      <c r="V17" s="4">
        <f t="shared" ref="V17" si="77">+V15+V16</f>
        <v>809.80000000000007</v>
      </c>
      <c r="W17" s="4">
        <f t="shared" ref="W17:Z17" si="78">+W15+W16</f>
        <v>668.50000000000011</v>
      </c>
      <c r="X17" s="4">
        <f t="shared" si="78"/>
        <v>832.10000000000014</v>
      </c>
      <c r="Y17" s="4">
        <f t="shared" si="78"/>
        <v>855.19999999999993</v>
      </c>
      <c r="Z17" s="4">
        <f t="shared" si="78"/>
        <v>955.59999999999968</v>
      </c>
      <c r="AA17" s="4">
        <f>+AA15+AA16</f>
        <v>940.40000000000032</v>
      </c>
      <c r="AB17" s="4">
        <f>+AB15+AB16</f>
        <v>1054.6000000000001</v>
      </c>
      <c r="AC17" s="4">
        <f>+AC15+AC16</f>
        <v>727.24649999999997</v>
      </c>
      <c r="AD17" s="4">
        <f>+AD15+AD16</f>
        <v>985.43300000000022</v>
      </c>
      <c r="AE17" s="4"/>
      <c r="AF17" s="4"/>
      <c r="AH17" s="2">
        <f t="shared" ref="AH17" si="79">+AH15+AH16</f>
        <v>980.80000000000018</v>
      </c>
      <c r="AI17" s="2">
        <f t="shared" ref="AI17:AN17" si="80">+AI15+AI16</f>
        <v>1104.8000000000002</v>
      </c>
      <c r="AJ17" s="2">
        <f t="shared" si="80"/>
        <v>1279.4999999999998</v>
      </c>
      <c r="AK17" s="2">
        <f t="shared" si="80"/>
        <v>1502.1999999999998</v>
      </c>
      <c r="AL17" s="2">
        <f t="shared" si="80"/>
        <v>1207</v>
      </c>
      <c r="AM17" s="2">
        <f t="shared" si="80"/>
        <v>1890.2999999999995</v>
      </c>
      <c r="AN17" s="2">
        <f t="shared" si="80"/>
        <v>1606.8000000000004</v>
      </c>
      <c r="AO17" s="2">
        <f t="shared" ref="AO17:BA17" si="81">+AO15+AO16</f>
        <v>1958.8999999999996</v>
      </c>
      <c r="AP17" s="2">
        <f t="shared" si="81"/>
        <v>2673.8000000000006</v>
      </c>
      <c r="AQ17" s="2">
        <f t="shared" si="81"/>
        <v>3311.400000000001</v>
      </c>
      <c r="AR17" s="2">
        <f t="shared" si="81"/>
        <v>3707.6795000000029</v>
      </c>
      <c r="AS17" s="2">
        <f t="shared" si="81"/>
        <v>5181.4724887500024</v>
      </c>
      <c r="AT17" s="2">
        <f t="shared" si="81"/>
        <v>6211.5121405218788</v>
      </c>
      <c r="AU17" s="2">
        <f t="shared" si="81"/>
        <v>7370.1807066940582</v>
      </c>
      <c r="AV17" s="2">
        <f t="shared" si="81"/>
        <v>8671.468834269559</v>
      </c>
      <c r="AW17" s="2">
        <f t="shared" si="81"/>
        <v>10130.814551515326</v>
      </c>
      <c r="AX17" s="2">
        <f t="shared" si="81"/>
        <v>11765.250063412121</v>
      </c>
      <c r="AY17" s="2">
        <f t="shared" si="81"/>
        <v>13593.563314124316</v>
      </c>
      <c r="AZ17" s="2">
        <f t="shared" si="81"/>
        <v>15636.475796909675</v>
      </c>
      <c r="BA17" s="2">
        <f t="shared" si="81"/>
        <v>17916.838240089273</v>
      </c>
    </row>
    <row r="18" spans="2:111" s="2" customFormat="1" x14ac:dyDescent="0.25">
      <c r="B18" s="2" t="s">
        <v>31</v>
      </c>
      <c r="C18" s="4">
        <f>-8.1+2.7</f>
        <v>-5.3999999999999995</v>
      </c>
      <c r="D18" s="4">
        <f>37+2.2</f>
        <v>39.200000000000003</v>
      </c>
      <c r="E18" s="4">
        <f>38.4+2.9</f>
        <v>41.3</v>
      </c>
      <c r="F18" s="4">
        <f>72.9-1.6</f>
        <v>71.300000000000011</v>
      </c>
      <c r="G18" s="4">
        <f>13.6+8.9</f>
        <v>22.5</v>
      </c>
      <c r="H18" s="4">
        <f>3.2+5.8</f>
        <v>9</v>
      </c>
      <c r="I18" s="4">
        <f>73.9+6.7</f>
        <v>80.600000000000009</v>
      </c>
      <c r="J18" s="4">
        <f>71.5+2.1</f>
        <v>73.599999999999994</v>
      </c>
      <c r="K18" s="4">
        <f>33+3.8</f>
        <v>36.799999999999997</v>
      </c>
      <c r="L18" s="4">
        <f>93.3+5.8</f>
        <v>99.1</v>
      </c>
      <c r="M18" s="4">
        <v>78.099999999999994</v>
      </c>
      <c r="N18" s="4">
        <v>58</v>
      </c>
      <c r="O18" s="4">
        <v>61</v>
      </c>
      <c r="P18" s="4">
        <v>73.2</v>
      </c>
      <c r="Q18" s="4">
        <f>102.2+4.1</f>
        <v>106.3</v>
      </c>
      <c r="R18" s="4">
        <v>0</v>
      </c>
      <c r="S18" s="4">
        <v>0</v>
      </c>
      <c r="T18" s="4">
        <v>123</v>
      </c>
      <c r="U18" s="4">
        <v>100.4</v>
      </c>
      <c r="V18" s="4">
        <f>121.8+2.3</f>
        <v>124.1</v>
      </c>
      <c r="W18" s="4">
        <v>0</v>
      </c>
      <c r="X18" s="4">
        <v>167.9</v>
      </c>
      <c r="Y18" s="4">
        <v>146</v>
      </c>
      <c r="Z18" s="4">
        <v>156.1</v>
      </c>
      <c r="AA18" s="4">
        <v>114.4</v>
      </c>
      <c r="AB18" s="4">
        <v>231.4</v>
      </c>
      <c r="AC18" s="4">
        <f>+AC17*0.15</f>
        <v>109.086975</v>
      </c>
      <c r="AD18" s="4">
        <f>+AD17*0.15</f>
        <v>147.81495000000004</v>
      </c>
      <c r="AE18" s="4"/>
      <c r="AF18" s="4"/>
      <c r="AH18" s="2">
        <v>244.9</v>
      </c>
      <c r="AI18" s="2">
        <v>433.9</v>
      </c>
      <c r="AJ18" s="2">
        <f>154.5-2.9</f>
        <v>151.6</v>
      </c>
      <c r="AK18" s="2">
        <f>120.4+2.5</f>
        <v>122.9</v>
      </c>
      <c r="AL18" s="2">
        <f>SUM(C18:F18)</f>
        <v>146.4</v>
      </c>
      <c r="AM18" s="2">
        <f>SUM(G18:J18)</f>
        <v>185.7</v>
      </c>
      <c r="AN18" s="2">
        <f>SUM(K18:N18)</f>
        <v>272</v>
      </c>
      <c r="AO18" s="2">
        <f>SUM(O18:R18)</f>
        <v>240.5</v>
      </c>
      <c r="AP18" s="2">
        <f>SUM(S18:V18)</f>
        <v>347.5</v>
      </c>
      <c r="AQ18" s="2">
        <f>SUM(W18:Z18)</f>
        <v>470</v>
      </c>
      <c r="AR18" s="2">
        <f>SUM(AA18:AD18)</f>
        <v>602.70192500000007</v>
      </c>
      <c r="AS18" s="2">
        <f t="shared" ref="AQ18:BA18" si="82">+AS17*0.15</f>
        <v>777.22087331250032</v>
      </c>
      <c r="AT18" s="2">
        <f t="shared" si="82"/>
        <v>931.72682107828177</v>
      </c>
      <c r="AU18" s="2">
        <f t="shared" si="82"/>
        <v>1105.5271060041086</v>
      </c>
      <c r="AV18" s="2">
        <f t="shared" si="82"/>
        <v>1300.7203251404337</v>
      </c>
      <c r="AW18" s="2">
        <f t="shared" si="82"/>
        <v>1519.6221827272989</v>
      </c>
      <c r="AX18" s="2">
        <f t="shared" si="82"/>
        <v>1764.7875095118181</v>
      </c>
      <c r="AY18" s="2">
        <f t="shared" si="82"/>
        <v>2039.0344971186473</v>
      </c>
      <c r="AZ18" s="2">
        <f t="shared" si="82"/>
        <v>2345.4713695364512</v>
      </c>
      <c r="BA18" s="2">
        <f t="shared" si="82"/>
        <v>2687.525736013391</v>
      </c>
    </row>
    <row r="19" spans="2:111" s="2" customFormat="1" x14ac:dyDescent="0.25">
      <c r="B19" s="2" t="s">
        <v>28</v>
      </c>
      <c r="C19" s="4">
        <f>+C17-C18</f>
        <v>313.5</v>
      </c>
      <c r="D19" s="4">
        <f t="shared" ref="D19:E19" si="83">+D17-D18</f>
        <v>67.999999999999901</v>
      </c>
      <c r="E19" s="4">
        <f t="shared" si="83"/>
        <v>313.90000000000009</v>
      </c>
      <c r="F19" s="4">
        <f t="shared" ref="F19:N19" si="84">+F17-F18</f>
        <v>365.20000000000016</v>
      </c>
      <c r="G19" s="4">
        <f t="shared" si="84"/>
        <v>426.2999999999999</v>
      </c>
      <c r="H19" s="4">
        <f t="shared" si="84"/>
        <v>517.20000000000005</v>
      </c>
      <c r="I19" s="4">
        <f t="shared" si="84"/>
        <v>380.5</v>
      </c>
      <c r="J19" s="4">
        <f t="shared" si="84"/>
        <v>380.5999999999998</v>
      </c>
      <c r="K19" s="4">
        <f t="shared" si="84"/>
        <v>365.6</v>
      </c>
      <c r="L19" s="4">
        <f t="shared" si="84"/>
        <v>307.80000000000018</v>
      </c>
      <c r="M19" s="4">
        <f t="shared" si="84"/>
        <v>324.70000000000005</v>
      </c>
      <c r="N19" s="4">
        <f t="shared" si="84"/>
        <v>336.7000000000001</v>
      </c>
      <c r="O19" s="4">
        <f t="shared" ref="O19" si="85">+O17-O18</f>
        <v>360.8</v>
      </c>
      <c r="P19" s="4">
        <f t="shared" ref="P19" si="86">+P17-P18</f>
        <v>426.00000000000006</v>
      </c>
      <c r="Q19" s="4">
        <f t="shared" ref="Q19" si="87">+Q17-Q18</f>
        <v>415.70000000000033</v>
      </c>
      <c r="R19" s="4">
        <f t="shared" ref="R19" si="88">+R17-R18</f>
        <v>515.90000000000009</v>
      </c>
      <c r="S19" s="4">
        <f t="shared" ref="S19" si="89">+S17-S18</f>
        <v>538.50000000000011</v>
      </c>
      <c r="T19" s="4">
        <f t="shared" ref="T19" si="90">+T17-T18</f>
        <v>531.50000000000011</v>
      </c>
      <c r="U19" s="4">
        <f t="shared" ref="U19" si="91">+U17-U18</f>
        <v>570.59999999999991</v>
      </c>
      <c r="V19" s="4">
        <f t="shared" ref="V19" si="92">+V17-V18</f>
        <v>685.7</v>
      </c>
      <c r="W19" s="4">
        <f t="shared" ref="W19:Z19" si="93">+W17-W18</f>
        <v>668.50000000000011</v>
      </c>
      <c r="X19" s="4">
        <f t="shared" si="93"/>
        <v>664.20000000000016</v>
      </c>
      <c r="Y19" s="4">
        <f t="shared" si="93"/>
        <v>709.19999999999993</v>
      </c>
      <c r="Z19" s="4">
        <f t="shared" si="93"/>
        <v>799.49999999999966</v>
      </c>
      <c r="AA19" s="4">
        <f>+AA17-AA18</f>
        <v>826.00000000000034</v>
      </c>
      <c r="AB19" s="4">
        <f>+AB17-AB18</f>
        <v>823.20000000000016</v>
      </c>
      <c r="AC19" s="4">
        <f>+AC17-AC18</f>
        <v>618.15952500000003</v>
      </c>
      <c r="AD19" s="4">
        <f>+AD17-AD18</f>
        <v>837.61805000000015</v>
      </c>
      <c r="AE19" s="4"/>
      <c r="AF19" s="4"/>
      <c r="AH19" s="2">
        <f t="shared" ref="AH19" si="94">+AH17-AH18</f>
        <v>735.9000000000002</v>
      </c>
      <c r="AI19" s="2">
        <f t="shared" ref="AI19:AN19" si="95">+AI17-AI18</f>
        <v>670.9000000000002</v>
      </c>
      <c r="AJ19" s="2">
        <f t="shared" si="95"/>
        <v>1127.8999999999999</v>
      </c>
      <c r="AK19" s="2">
        <f t="shared" si="95"/>
        <v>1379.2999999999997</v>
      </c>
      <c r="AL19" s="2">
        <f t="shared" si="95"/>
        <v>1060.5999999999999</v>
      </c>
      <c r="AM19" s="2">
        <f t="shared" si="95"/>
        <v>1704.5999999999995</v>
      </c>
      <c r="AN19" s="2">
        <f t="shared" si="95"/>
        <v>1334.8000000000004</v>
      </c>
      <c r="AO19" s="2">
        <f t="shared" ref="AO19:BA19" si="96">+AO17-AO18</f>
        <v>1718.3999999999996</v>
      </c>
      <c r="AP19" s="2">
        <f t="shared" si="96"/>
        <v>2326.3000000000006</v>
      </c>
      <c r="AQ19" s="2">
        <f t="shared" si="96"/>
        <v>2841.400000000001</v>
      </c>
      <c r="AR19" s="2">
        <f t="shared" si="96"/>
        <v>3104.9775750000026</v>
      </c>
      <c r="AS19" s="2">
        <f t="shared" si="96"/>
        <v>4404.2516154375026</v>
      </c>
      <c r="AT19" s="2">
        <f t="shared" si="96"/>
        <v>5279.7853194435975</v>
      </c>
      <c r="AU19" s="2">
        <f t="shared" si="96"/>
        <v>6264.6536006899496</v>
      </c>
      <c r="AV19" s="2">
        <f t="shared" si="96"/>
        <v>7370.7485091291255</v>
      </c>
      <c r="AW19" s="2">
        <f t="shared" si="96"/>
        <v>8611.192368788028</v>
      </c>
      <c r="AX19" s="2">
        <f t="shared" si="96"/>
        <v>10000.462553900303</v>
      </c>
      <c r="AY19" s="2">
        <f t="shared" si="96"/>
        <v>11554.528817005668</v>
      </c>
      <c r="AZ19" s="2">
        <f t="shared" si="96"/>
        <v>13291.004427373224</v>
      </c>
      <c r="BA19" s="2">
        <f t="shared" si="96"/>
        <v>15229.312504075882</v>
      </c>
      <c r="BB19" s="2">
        <f t="shared" ref="BB19:CG19" si="97">BA19*(1+$BF$23)</f>
        <v>15381.605629116641</v>
      </c>
      <c r="BC19" s="2">
        <f t="shared" si="97"/>
        <v>15535.421685407808</v>
      </c>
      <c r="BD19" s="2">
        <f t="shared" si="97"/>
        <v>15690.775902261887</v>
      </c>
      <c r="BE19" s="2">
        <f t="shared" si="97"/>
        <v>15847.683661284505</v>
      </c>
      <c r="BF19" s="2">
        <f t="shared" si="97"/>
        <v>16006.16049789735</v>
      </c>
      <c r="BG19" s="2">
        <f t="shared" si="97"/>
        <v>16166.222102876323</v>
      </c>
      <c r="BH19" s="2">
        <f t="shared" si="97"/>
        <v>16327.884323905088</v>
      </c>
      <c r="BI19" s="2">
        <f t="shared" si="97"/>
        <v>16491.163167144139</v>
      </c>
      <c r="BJ19" s="2">
        <f t="shared" si="97"/>
        <v>16656.074798815582</v>
      </c>
      <c r="BK19" s="2">
        <f t="shared" si="97"/>
        <v>16822.635546803736</v>
      </c>
      <c r="BL19" s="2">
        <f t="shared" si="97"/>
        <v>16990.861902271772</v>
      </c>
      <c r="BM19" s="2">
        <f t="shared" si="97"/>
        <v>17160.770521294489</v>
      </c>
      <c r="BN19" s="2">
        <f t="shared" si="97"/>
        <v>17332.378226507433</v>
      </c>
      <c r="BO19" s="2">
        <f t="shared" si="97"/>
        <v>17505.702008772507</v>
      </c>
      <c r="BP19" s="2">
        <f t="shared" si="97"/>
        <v>17680.759028860233</v>
      </c>
      <c r="BQ19" s="2">
        <f t="shared" si="97"/>
        <v>17857.566619148834</v>
      </c>
      <c r="BR19" s="2">
        <f t="shared" si="97"/>
        <v>18036.142285340324</v>
      </c>
      <c r="BS19" s="2">
        <f t="shared" si="97"/>
        <v>18216.503708193726</v>
      </c>
      <c r="BT19" s="2">
        <f t="shared" si="97"/>
        <v>18398.668745275663</v>
      </c>
      <c r="BU19" s="2">
        <f t="shared" si="97"/>
        <v>18582.655432728421</v>
      </c>
      <c r="BV19" s="2">
        <f t="shared" si="97"/>
        <v>18768.481987055704</v>
      </c>
      <c r="BW19" s="2">
        <f t="shared" si="97"/>
        <v>18956.16680692626</v>
      </c>
      <c r="BX19" s="2">
        <f t="shared" si="97"/>
        <v>19145.728474995522</v>
      </c>
      <c r="BY19" s="2">
        <f t="shared" si="97"/>
        <v>19337.185759745476</v>
      </c>
      <c r="BZ19" s="2">
        <f t="shared" si="97"/>
        <v>19530.557617342933</v>
      </c>
      <c r="CA19" s="2">
        <f t="shared" si="97"/>
        <v>19725.863193516361</v>
      </c>
      <c r="CB19" s="2">
        <f t="shared" si="97"/>
        <v>19923.121825451526</v>
      </c>
      <c r="CC19" s="2">
        <f t="shared" si="97"/>
        <v>20122.35304370604</v>
      </c>
      <c r="CD19" s="2">
        <f t="shared" si="97"/>
        <v>20323.576574143099</v>
      </c>
      <c r="CE19" s="2">
        <f t="shared" si="97"/>
        <v>20526.812339884531</v>
      </c>
      <c r="CF19" s="2">
        <f t="shared" si="97"/>
        <v>20732.080463283375</v>
      </c>
      <c r="CG19" s="2">
        <f t="shared" si="97"/>
        <v>20939.401267916208</v>
      </c>
      <c r="CH19" s="2">
        <f t="shared" ref="CH19:DG19" si="98">CG19*(1+$BF$23)</f>
        <v>21148.795280595372</v>
      </c>
      <c r="CI19" s="2">
        <f t="shared" si="98"/>
        <v>21360.283233401326</v>
      </c>
      <c r="CJ19" s="2">
        <f t="shared" si="98"/>
        <v>21573.88606573534</v>
      </c>
      <c r="CK19" s="2">
        <f t="shared" si="98"/>
        <v>21789.624926392695</v>
      </c>
      <c r="CL19" s="2">
        <f t="shared" si="98"/>
        <v>22007.52117565662</v>
      </c>
      <c r="CM19" s="2">
        <f t="shared" si="98"/>
        <v>22227.596387413188</v>
      </c>
      <c r="CN19" s="2">
        <f t="shared" si="98"/>
        <v>22449.872351287322</v>
      </c>
      <c r="CO19" s="2">
        <f t="shared" si="98"/>
        <v>22674.371074800194</v>
      </c>
      <c r="CP19" s="2">
        <f t="shared" si="98"/>
        <v>22901.114785548198</v>
      </c>
      <c r="CQ19" s="2">
        <f t="shared" si="98"/>
        <v>23130.12593340368</v>
      </c>
      <c r="CR19" s="2">
        <f t="shared" si="98"/>
        <v>23361.427192737716</v>
      </c>
      <c r="CS19" s="2">
        <f t="shared" si="98"/>
        <v>23595.041464665093</v>
      </c>
      <c r="CT19" s="2">
        <f t="shared" si="98"/>
        <v>23830.991879311743</v>
      </c>
      <c r="CU19" s="2">
        <f t="shared" si="98"/>
        <v>24069.301798104862</v>
      </c>
      <c r="CV19" s="2">
        <f t="shared" si="98"/>
        <v>24309.994816085909</v>
      </c>
      <c r="CW19" s="2">
        <f t="shared" si="98"/>
        <v>24553.094764246769</v>
      </c>
      <c r="CX19" s="2">
        <f t="shared" si="98"/>
        <v>24798.625711889235</v>
      </c>
      <c r="CY19" s="2">
        <f t="shared" si="98"/>
        <v>25046.611969008129</v>
      </c>
      <c r="CZ19" s="2">
        <f t="shared" si="98"/>
        <v>25297.07808869821</v>
      </c>
      <c r="DA19" s="2">
        <f t="shared" si="98"/>
        <v>25550.048869585193</v>
      </c>
      <c r="DB19" s="2">
        <f t="shared" si="98"/>
        <v>25805.549358281045</v>
      </c>
      <c r="DC19" s="2">
        <f t="shared" si="98"/>
        <v>26063.604851863856</v>
      </c>
      <c r="DD19" s="2">
        <f t="shared" si="98"/>
        <v>26324.240900382494</v>
      </c>
      <c r="DE19" s="2">
        <f t="shared" si="98"/>
        <v>26587.48330938632</v>
      </c>
      <c r="DF19" s="2">
        <f t="shared" si="98"/>
        <v>26853.358142480185</v>
      </c>
      <c r="DG19" s="2">
        <f t="shared" si="98"/>
        <v>27121.891723904988</v>
      </c>
    </row>
    <row r="20" spans="2:111" s="2" customFormat="1" x14ac:dyDescent="0.25">
      <c r="B20" s="2" t="s">
        <v>32</v>
      </c>
      <c r="C20" s="7">
        <f>+C19/C21</f>
        <v>2.6168614357262103</v>
      </c>
      <c r="D20" s="7">
        <f t="shared" ref="D20:E20" si="99">+D19/D21</f>
        <v>0.56808688387635675</v>
      </c>
      <c r="E20" s="7">
        <f t="shared" si="99"/>
        <v>2.6028192371475964</v>
      </c>
      <c r="F20" s="7">
        <f t="shared" ref="F20:N20" si="100">+F19/F21</f>
        <v>1.0052298375997801</v>
      </c>
      <c r="G20" s="7">
        <f t="shared" si="100"/>
        <v>1.1711538461538458</v>
      </c>
      <c r="H20" s="7">
        <f t="shared" si="100"/>
        <v>1.4173746231844344</v>
      </c>
      <c r="I20" s="7">
        <f t="shared" si="100"/>
        <v>1.0356559608056615</v>
      </c>
      <c r="J20" s="7">
        <f t="shared" si="100"/>
        <v>1.0359281437125745</v>
      </c>
      <c r="K20" s="7">
        <f t="shared" si="100"/>
        <v>0.9970002727024817</v>
      </c>
      <c r="L20" s="7">
        <f t="shared" si="100"/>
        <v>0.84583676834295196</v>
      </c>
      <c r="M20" s="7">
        <f t="shared" si="100"/>
        <v>0.90069348127600568</v>
      </c>
      <c r="N20" s="7">
        <f t="shared" si="100"/>
        <v>1.0363188673437984</v>
      </c>
      <c r="O20" s="7">
        <f t="shared" ref="O20" si="101">+O19/O21</f>
        <v>1.0134831460674159</v>
      </c>
      <c r="P20" s="7">
        <f t="shared" ref="P20" si="102">+P19/P21</f>
        <v>1.1922753988245174</v>
      </c>
      <c r="Q20" s="7">
        <f t="shared" ref="Q20" si="103">+Q19/Q21</f>
        <v>1.1605248464544957</v>
      </c>
      <c r="R20" s="7">
        <f t="shared" ref="R20" si="104">+R19/R21</f>
        <v>1.4223876481941</v>
      </c>
      <c r="S20" s="7">
        <f t="shared" ref="S20" si="105">+S19/S21</f>
        <v>1.4937586685159503</v>
      </c>
      <c r="T20" s="7">
        <f t="shared" ref="T20" si="106">+T19/T21</f>
        <v>1.4722991689750695</v>
      </c>
      <c r="U20" s="7">
        <f t="shared" ref="U20" si="107">+U19/U21</f>
        <v>1.573200992555831</v>
      </c>
      <c r="V20" s="7">
        <f t="shared" ref="V20" si="108">+V19/V21</f>
        <v>1.8843088760648532</v>
      </c>
      <c r="W20" s="7">
        <f t="shared" ref="W20:Z20" si="109">+W19/W21</f>
        <v>1.8335161821173891</v>
      </c>
      <c r="X20" s="7">
        <f t="shared" si="109"/>
        <v>1.8242241142543261</v>
      </c>
      <c r="Y20" s="7">
        <f t="shared" si="109"/>
        <v>1.9601990049751241</v>
      </c>
      <c r="Z20" s="7">
        <f t="shared" si="109"/>
        <v>2.2183684794672578</v>
      </c>
      <c r="AA20" s="7">
        <f>+AA19/AA21</f>
        <v>2.2957198443579774</v>
      </c>
      <c r="AB20" s="7">
        <f>+AB19/AB21</f>
        <v>2.3039462636439971</v>
      </c>
      <c r="AC20" s="7">
        <f>+AC19/AC21</f>
        <v>1.7300854324097397</v>
      </c>
      <c r="AD20" s="7">
        <f>+AD19/AD21</f>
        <v>2.3442990484186961</v>
      </c>
      <c r="AE20" s="7"/>
      <c r="AF20" s="4"/>
      <c r="AH20" s="1">
        <f t="shared" ref="AH20" si="110">+AH19/AH21</f>
        <v>6.2417302798982206</v>
      </c>
      <c r="AI20" s="1">
        <f t="shared" ref="AI20:AN20" si="111">+AI19/AI21</f>
        <v>5.7687016337059349</v>
      </c>
      <c r="AJ20" s="1">
        <f t="shared" si="111"/>
        <v>9.4941077441077439</v>
      </c>
      <c r="AK20" s="1">
        <f t="shared" si="111"/>
        <v>11.542259414225938</v>
      </c>
      <c r="AL20" s="1">
        <f t="shared" si="111"/>
        <v>2.9193503991191849</v>
      </c>
      <c r="AM20" s="1">
        <f t="shared" si="111"/>
        <v>4.6583316253330596</v>
      </c>
      <c r="AN20" s="1">
        <f t="shared" si="111"/>
        <v>3.7706214689265547</v>
      </c>
      <c r="AO20" s="1">
        <f t="shared" ref="AO20:AV20" si="112">+AO19/AO21</f>
        <v>4.7926370101798899</v>
      </c>
      <c r="AP20" s="1">
        <f t="shared" si="112"/>
        <v>6.4257993232511588</v>
      </c>
      <c r="AQ20" s="1">
        <f t="shared" si="112"/>
        <v>7.8334826659314931</v>
      </c>
      <c r="AR20" s="1">
        <f t="shared" si="112"/>
        <v>8.6749390933854933</v>
      </c>
      <c r="AS20" s="1">
        <f t="shared" si="112"/>
        <v>12.30495666812182</v>
      </c>
      <c r="AT20" s="1">
        <f t="shared" si="112"/>
        <v>14.751093998585171</v>
      </c>
      <c r="AU20" s="1">
        <f t="shared" si="112"/>
        <v>17.50269917074792</v>
      </c>
      <c r="AV20" s="1">
        <f t="shared" si="112"/>
        <v>20.592997161777259</v>
      </c>
      <c r="AW20" s="1">
        <f t="shared" ref="AW20:BA20" si="113">+AW19/AW21</f>
        <v>24.058650188693239</v>
      </c>
      <c r="AX20" s="1">
        <f t="shared" si="113"/>
        <v>27.940106318084243</v>
      </c>
      <c r="AY20" s="1">
        <f t="shared" si="113"/>
        <v>32.281983144529349</v>
      </c>
      <c r="AZ20" s="1">
        <f t="shared" si="113"/>
        <v>37.133490053428019</v>
      </c>
      <c r="BA20" s="1">
        <f t="shared" si="113"/>
        <v>42.548892935882883</v>
      </c>
    </row>
    <row r="21" spans="2:111" x14ac:dyDescent="0.25">
      <c r="B21" s="2" t="s">
        <v>1</v>
      </c>
      <c r="C21" s="4">
        <v>119.8</v>
      </c>
      <c r="D21" s="4">
        <v>119.7</v>
      </c>
      <c r="E21" s="4">
        <v>120.6</v>
      </c>
      <c r="F21" s="4">
        <v>363.3</v>
      </c>
      <c r="G21" s="4">
        <v>364</v>
      </c>
      <c r="H21" s="4">
        <v>364.9</v>
      </c>
      <c r="I21" s="4">
        <v>367.4</v>
      </c>
      <c r="J21" s="4">
        <v>367.4</v>
      </c>
      <c r="K21" s="4">
        <v>366.7</v>
      </c>
      <c r="L21" s="4">
        <v>363.9</v>
      </c>
      <c r="M21" s="4">
        <v>360.5</v>
      </c>
      <c r="N21" s="4">
        <v>324.89999999999998</v>
      </c>
      <c r="O21" s="4">
        <v>356</v>
      </c>
      <c r="P21" s="4">
        <v>357.3</v>
      </c>
      <c r="Q21" s="4">
        <v>358.2</v>
      </c>
      <c r="R21" s="4">
        <v>362.7</v>
      </c>
      <c r="S21" s="4">
        <v>360.5</v>
      </c>
      <c r="T21" s="4">
        <v>361</v>
      </c>
      <c r="U21" s="4">
        <v>362.7</v>
      </c>
      <c r="V21" s="4">
        <v>363.9</v>
      </c>
      <c r="W21" s="4">
        <v>364.6</v>
      </c>
      <c r="X21" s="4">
        <v>364.1</v>
      </c>
      <c r="Y21" s="4">
        <v>361.8</v>
      </c>
      <c r="Z21" s="4">
        <v>360.4</v>
      </c>
      <c r="AA21" s="4">
        <v>359.8</v>
      </c>
      <c r="AB21" s="4">
        <v>357.3</v>
      </c>
      <c r="AC21" s="4">
        <f>+AB21</f>
        <v>357.3</v>
      </c>
      <c r="AD21" s="4">
        <f>+AC21</f>
        <v>357.3</v>
      </c>
      <c r="AE21" s="4"/>
      <c r="AH21" s="2">
        <v>117.9</v>
      </c>
      <c r="AI21" s="2">
        <v>116.3</v>
      </c>
      <c r="AJ21" s="2">
        <v>118.8</v>
      </c>
      <c r="AK21" s="2">
        <v>119.5</v>
      </c>
      <c r="AL21" s="2">
        <f>F21</f>
        <v>363.3</v>
      </c>
      <c r="AM21" s="2">
        <f>AVERAGE(G21:J21)</f>
        <v>365.92499999999995</v>
      </c>
      <c r="AN21" s="2">
        <f>AVERAGE(K21:N21)</f>
        <v>354</v>
      </c>
      <c r="AO21" s="2">
        <f>AVERAGE(O21:R21)</f>
        <v>358.55</v>
      </c>
      <c r="AP21" s="2">
        <f>AVERAGE(S21:V21)</f>
        <v>362.02499999999998</v>
      </c>
      <c r="AQ21" s="2">
        <f>AVERAGE(W21:Z21)</f>
        <v>362.72500000000002</v>
      </c>
      <c r="AR21" s="2">
        <f>AVERAGE(AA21:AD21)</f>
        <v>357.92500000000001</v>
      </c>
      <c r="AS21" s="2">
        <f t="shared" ref="AQ21:AV21" si="114">+AR21</f>
        <v>357.92500000000001</v>
      </c>
      <c r="AT21" s="2">
        <f t="shared" si="114"/>
        <v>357.92500000000001</v>
      </c>
      <c r="AU21" s="2">
        <f t="shared" si="114"/>
        <v>357.92500000000001</v>
      </c>
      <c r="AV21" s="2">
        <f t="shared" si="114"/>
        <v>357.92500000000001</v>
      </c>
      <c r="AW21" s="2">
        <f t="shared" ref="AW21" si="115">+AV21</f>
        <v>357.92500000000001</v>
      </c>
      <c r="AX21" s="2">
        <f t="shared" ref="AX21" si="116">+AW21</f>
        <v>357.92500000000001</v>
      </c>
      <c r="AY21" s="2">
        <f t="shared" ref="AY21" si="117">+AX21</f>
        <v>357.92500000000001</v>
      </c>
      <c r="AZ21" s="2">
        <f t="shared" ref="AZ21" si="118">+AY21</f>
        <v>357.92500000000001</v>
      </c>
      <c r="BA21" s="2">
        <f t="shared" ref="BA21" si="119">+AZ21</f>
        <v>357.92500000000001</v>
      </c>
    </row>
    <row r="23" spans="2:111" ht="13" x14ac:dyDescent="0.3">
      <c r="B23" s="2" t="s">
        <v>35</v>
      </c>
      <c r="E23" s="8"/>
      <c r="F23" s="8"/>
      <c r="G23" s="8">
        <f t="shared" ref="G23" si="120">+G9/C9-1</f>
        <v>0.1751705320600272</v>
      </c>
      <c r="H23" s="8">
        <f>+H9/D9-1</f>
        <v>0.71810820326252811</v>
      </c>
      <c r="I23" s="8">
        <f t="shared" ref="I23:K23" si="121">+I9/E9-1</f>
        <v>0.3021248956110234</v>
      </c>
      <c r="J23" s="8">
        <f t="shared" si="121"/>
        <v>0.16672936573621211</v>
      </c>
      <c r="K23" s="8">
        <f t="shared" si="121"/>
        <v>0.15138147202228946</v>
      </c>
      <c r="L23" s="8">
        <f>+L9/H9-1</f>
        <v>3.9685792349726912E-2</v>
      </c>
      <c r="M23" s="8">
        <f t="shared" ref="M23:N23" si="122">+M9/I9-1</f>
        <v>0.10981258462196264</v>
      </c>
      <c r="N23" s="8">
        <f t="shared" si="122"/>
        <v>6.7259947120655417E-2</v>
      </c>
      <c r="O23" s="8">
        <f t="shared" ref="O23" si="123">+O9/K9-1</f>
        <v>0.14014922363379712</v>
      </c>
      <c r="P23" s="8">
        <f t="shared" ref="P23" si="124">+P9/L9-1</f>
        <v>0.15360357400959201</v>
      </c>
      <c r="Q23" s="8">
        <f t="shared" ref="Q23" si="125">+Q9/M9-1</f>
        <v>0.11962244766919228</v>
      </c>
      <c r="R23" s="8">
        <f t="shared" ref="R23" si="126">+R9/N9-1</f>
        <v>0.16513595166163153</v>
      </c>
      <c r="S23" s="8">
        <f t="shared" ref="S23" si="127">+S9/O9-1</f>
        <v>0.11460912628227815</v>
      </c>
      <c r="T23" s="8">
        <f t="shared" ref="T23" si="128">+T9/P9-1</f>
        <v>0.14465516259468081</v>
      </c>
      <c r="U23" s="8">
        <f t="shared" ref="U23" si="129">+U9/Q9-1</f>
        <v>0.16883638240522991</v>
      </c>
      <c r="V23" s="8">
        <f t="shared" ref="V23" si="130">+V9/R9-1</f>
        <v>0.25162059845459717</v>
      </c>
      <c r="W23" s="8">
        <f t="shared" ref="W23" si="131">+W9/S9-1</f>
        <v>0.19189675235375003</v>
      </c>
      <c r="X23" s="8">
        <f t="shared" ref="X23" si="132">+X9/T9-1</f>
        <v>0.21399074580824906</v>
      </c>
      <c r="Y23" s="8">
        <f t="shared" ref="Y23" si="133">+Y9/U9-1</f>
        <v>0.22913497865659194</v>
      </c>
      <c r="Z23" s="8">
        <f t="shared" ref="Z23" si="134">+Z9/V9-1</f>
        <v>0.18756991920447486</v>
      </c>
      <c r="AA23" s="8">
        <f t="shared" ref="AA23" si="135">+AA9/W9-1</f>
        <v>0.22960859146179113</v>
      </c>
      <c r="AB23" s="8">
        <f t="shared" ref="AB23" si="136">+AB9/X9-1</f>
        <v>0.18536885245901646</v>
      </c>
      <c r="AC23" s="8">
        <f t="shared" ref="AC23" si="137">+AC9/Y9-1</f>
        <v>9.9999999999999867E-2</v>
      </c>
      <c r="AD23" s="8">
        <f t="shared" ref="AD23" si="138">+AD9/Z9-1</f>
        <v>9.9999999999999867E-2</v>
      </c>
      <c r="AE23" s="8"/>
      <c r="AI23" s="10">
        <f>+AI9/AH9-1</f>
        <v>0.16040526549327039</v>
      </c>
      <c r="AJ23" s="10">
        <f>+AJ9/AI9-1</f>
        <v>0.18673124721177725</v>
      </c>
      <c r="AK23" s="10">
        <f>+AK9/AJ9-1</f>
        <v>0.20254014284947108</v>
      </c>
      <c r="AL23" s="10">
        <f t="shared" ref="AL23" si="139">+AL9/AK9-1</f>
        <v>-2.6817014625432734E-2</v>
      </c>
      <c r="AM23" s="10">
        <f>+AM9/AL9-1</f>
        <v>0.31013674743024966</v>
      </c>
      <c r="AN23" s="10">
        <f>+AN9/AM9-1</f>
        <v>8.968319293882776E-2</v>
      </c>
      <c r="AO23" s="10">
        <f t="shared" ref="AO23:AV23" si="140">+AO9/AN9-1</f>
        <v>0.1449487319597571</v>
      </c>
      <c r="AP23" s="10">
        <f t="shared" si="140"/>
        <v>0.17237265058042417</v>
      </c>
      <c r="AQ23" s="11">
        <f t="shared" si="140"/>
        <v>0.20505022688904595</v>
      </c>
      <c r="AR23" s="11">
        <f t="shared" si="140"/>
        <v>0.14971434816735729</v>
      </c>
      <c r="AS23" s="11">
        <f t="shared" si="140"/>
        <v>0.10000000000000009</v>
      </c>
      <c r="AT23" s="11">
        <f t="shared" si="140"/>
        <v>0.10000000000000009</v>
      </c>
      <c r="AU23" s="11">
        <f t="shared" si="140"/>
        <v>0.10000000000000009</v>
      </c>
      <c r="AV23" s="11">
        <f t="shared" si="140"/>
        <v>0.10000000000000009</v>
      </c>
      <c r="AW23" s="11">
        <f t="shared" ref="AW23" si="141">+AW9/AV9-1</f>
        <v>0.10000000000000009</v>
      </c>
      <c r="AX23" s="11">
        <f t="shared" ref="AX23" si="142">+AX9/AW9-1</f>
        <v>9.9999999999999867E-2</v>
      </c>
      <c r="AY23" s="11">
        <f t="shared" ref="AY23" si="143">+AY9/AX9-1</f>
        <v>0.10000000000000031</v>
      </c>
      <c r="AZ23" s="11">
        <f t="shared" ref="AZ23" si="144">+AZ9/AY9-1</f>
        <v>9.9999999999999867E-2</v>
      </c>
      <c r="BA23" s="11">
        <f t="shared" ref="BA23" si="145">+BA9/AZ9-1</f>
        <v>0.10000000000000009</v>
      </c>
      <c r="BE23" t="s">
        <v>39</v>
      </c>
      <c r="BF23" s="10">
        <v>0.01</v>
      </c>
    </row>
    <row r="24" spans="2:111" x14ac:dyDescent="0.25">
      <c r="B24" s="2" t="s">
        <v>23</v>
      </c>
      <c r="C24" s="8">
        <f>C11/C9</f>
        <v>0.67139608913142346</v>
      </c>
      <c r="D24" s="8">
        <f t="shared" ref="D24:M24" si="146">D11/D9</f>
        <v>0.5901889449595118</v>
      </c>
      <c r="E24" s="8">
        <f t="shared" si="146"/>
        <v>0.67207942841235968</v>
      </c>
      <c r="F24" s="8">
        <f t="shared" si="146"/>
        <v>0.67398991798961705</v>
      </c>
      <c r="G24" s="8">
        <f t="shared" si="146"/>
        <v>0.69855274359569686</v>
      </c>
      <c r="H24" s="8">
        <f t="shared" si="146"/>
        <v>0.69924863387978142</v>
      </c>
      <c r="I24" s="8">
        <f t="shared" si="146"/>
        <v>0.69222546853844513</v>
      </c>
      <c r="J24" s="8">
        <f t="shared" si="146"/>
        <v>0.68407815825111229</v>
      </c>
      <c r="K24" s="8">
        <f t="shared" si="146"/>
        <v>0.67869866236472409</v>
      </c>
      <c r="L24" s="8">
        <f t="shared" si="146"/>
        <v>0.67229485579134096</v>
      </c>
      <c r="M24" s="8">
        <f t="shared" si="146"/>
        <v>0.67554899190959294</v>
      </c>
      <c r="N24" s="8">
        <f t="shared" ref="N24:V24" si="147">N11/N9</f>
        <v>0.67123867069486409</v>
      </c>
      <c r="O24" s="8">
        <f t="shared" si="147"/>
        <v>0.65617262115316588</v>
      </c>
      <c r="P24" s="8">
        <f t="shared" si="147"/>
        <v>0.66740702773506466</v>
      </c>
      <c r="Q24" s="8">
        <f t="shared" si="147"/>
        <v>0.66938120089464936</v>
      </c>
      <c r="R24" s="8">
        <f t="shared" si="147"/>
        <v>0.66244878908883476</v>
      </c>
      <c r="S24" s="8">
        <f t="shared" si="147"/>
        <v>0.65873267745689201</v>
      </c>
      <c r="T24" s="8">
        <f t="shared" si="147"/>
        <v>0.68296930195532113</v>
      </c>
      <c r="U24" s="8">
        <f t="shared" si="147"/>
        <v>0.67410823806486431</v>
      </c>
      <c r="V24" s="8">
        <f t="shared" si="147"/>
        <v>0.6804226227470479</v>
      </c>
      <c r="W24" s="8">
        <f t="shared" ref="W24:AB24" si="148">W11/W9</f>
        <v>0.64688914529155939</v>
      </c>
      <c r="X24" s="8">
        <f t="shared" si="148"/>
        <v>0.66307377049180327</v>
      </c>
      <c r="Y24" s="8">
        <f t="shared" si="148"/>
        <v>0.66360624326374196</v>
      </c>
      <c r="Z24" s="8">
        <f t="shared" si="148"/>
        <v>0.66439885562766021</v>
      </c>
      <c r="AA24" s="8">
        <f t="shared" si="148"/>
        <v>0.66063952649054425</v>
      </c>
      <c r="AB24" s="8">
        <f t="shared" si="148"/>
        <v>0.67779967499913563</v>
      </c>
      <c r="AC24" s="8">
        <f t="shared" ref="AC24:AD24" si="149">AC11/AC9</f>
        <v>0.65</v>
      </c>
      <c r="AD24" s="8">
        <f t="shared" si="149"/>
        <v>0.65000000000000013</v>
      </c>
      <c r="AE24" s="8"/>
      <c r="AH24" s="8">
        <f t="shared" ref="AH24" si="150">AH11/AH9</f>
        <v>0.69889809199822517</v>
      </c>
      <c r="AI24" s="8">
        <f t="shared" ref="AI24:AJ24" si="151">AI11/AI9</f>
        <v>0.70167612006882918</v>
      </c>
      <c r="AJ24" s="8">
        <f t="shared" si="151"/>
        <v>0.69923742011707213</v>
      </c>
      <c r="AK24" s="8">
        <f t="shared" ref="AK24:AL24" si="152">AK11/AK9</f>
        <v>0.69447359607011272</v>
      </c>
      <c r="AL24" s="8">
        <f t="shared" si="152"/>
        <v>0.65647944199706321</v>
      </c>
      <c r="AM24" s="8">
        <f t="shared" ref="AM24:AN24" si="153">AM11/AM9</f>
        <v>0.69324530218384961</v>
      </c>
      <c r="AN24" s="8">
        <f t="shared" si="153"/>
        <v>0.67435955128411174</v>
      </c>
      <c r="AO24" s="8">
        <f t="shared" ref="AO24:AV24" si="154">AO11/AO9</f>
        <v>0.66387333136817284</v>
      </c>
      <c r="AP24" s="8">
        <f>AP11/AP9</f>
        <v>0.67458483495168886</v>
      </c>
      <c r="AQ24" s="8">
        <f t="shared" si="154"/>
        <v>0.65996005842200967</v>
      </c>
      <c r="AR24" s="8">
        <f t="shared" si="154"/>
        <v>0.6594961513300317</v>
      </c>
      <c r="AS24" s="8">
        <f t="shared" si="154"/>
        <v>0.66999999999999993</v>
      </c>
      <c r="AT24" s="8">
        <f t="shared" si="154"/>
        <v>0.67</v>
      </c>
      <c r="AU24" s="8">
        <f t="shared" si="154"/>
        <v>0.67</v>
      </c>
      <c r="AV24" s="8">
        <f t="shared" si="154"/>
        <v>0.67</v>
      </c>
      <c r="AW24" s="8">
        <f t="shared" ref="AW24:BA24" si="155">AW11/AW9</f>
        <v>0.67</v>
      </c>
      <c r="AX24" s="8">
        <f t="shared" si="155"/>
        <v>0.67</v>
      </c>
      <c r="AY24" s="8">
        <f t="shared" si="155"/>
        <v>0.67</v>
      </c>
      <c r="AZ24" s="8">
        <f t="shared" si="155"/>
        <v>0.67</v>
      </c>
      <c r="BA24" s="8">
        <f t="shared" si="155"/>
        <v>0.67</v>
      </c>
      <c r="BE24" s="2" t="s">
        <v>37</v>
      </c>
      <c r="BF24" s="10">
        <v>0.08</v>
      </c>
    </row>
    <row r="25" spans="2:111" x14ac:dyDescent="0.25">
      <c r="B25" s="2" t="s">
        <v>36</v>
      </c>
      <c r="C25" s="8">
        <f>C18/C17</f>
        <v>-1.7526777020447904E-2</v>
      </c>
      <c r="D25" s="8">
        <f t="shared" ref="D25:M25" si="156">D18/D17</f>
        <v>0.36567164179104511</v>
      </c>
      <c r="E25" s="8">
        <f t="shared" si="156"/>
        <v>0.11627252252252249</v>
      </c>
      <c r="F25" s="8">
        <f t="shared" si="156"/>
        <v>0.1633447880870561</v>
      </c>
      <c r="G25" s="8">
        <f t="shared" si="156"/>
        <v>5.0133689839572206E-2</v>
      </c>
      <c r="H25" s="8">
        <f t="shared" si="156"/>
        <v>1.7103762827822118E-2</v>
      </c>
      <c r="I25" s="8">
        <f t="shared" si="156"/>
        <v>0.17479939275645198</v>
      </c>
      <c r="J25" s="8">
        <f t="shared" si="156"/>
        <v>0.16204315279612513</v>
      </c>
      <c r="K25" s="8">
        <f t="shared" si="156"/>
        <v>9.1451292246520863E-2</v>
      </c>
      <c r="L25" s="8">
        <f t="shared" si="156"/>
        <v>0.24354878348488562</v>
      </c>
      <c r="M25" s="8">
        <f t="shared" si="156"/>
        <v>0.19389275074478646</v>
      </c>
      <c r="N25" s="8">
        <f t="shared" ref="N25:V25" si="157">N18/N17</f>
        <v>0.14694704839118314</v>
      </c>
      <c r="O25" s="8">
        <f t="shared" si="157"/>
        <v>0.14461830251303937</v>
      </c>
      <c r="P25" s="8">
        <f t="shared" si="157"/>
        <v>0.14663461538461536</v>
      </c>
      <c r="Q25" s="8">
        <f t="shared" si="157"/>
        <v>0.20363984674329488</v>
      </c>
      <c r="R25" s="8">
        <f t="shared" si="157"/>
        <v>0</v>
      </c>
      <c r="S25" s="8">
        <f t="shared" si="157"/>
        <v>0</v>
      </c>
      <c r="T25" s="8">
        <f t="shared" si="157"/>
        <v>0.18792971734148201</v>
      </c>
      <c r="U25" s="8">
        <f t="shared" si="157"/>
        <v>0.14962742175856933</v>
      </c>
      <c r="V25" s="8">
        <f t="shared" si="157"/>
        <v>0.153247715485305</v>
      </c>
      <c r="W25" s="8">
        <f t="shared" ref="W25:AB25" si="158">W18/W17</f>
        <v>0</v>
      </c>
      <c r="X25" s="8">
        <f t="shared" si="158"/>
        <v>0.20177863237591634</v>
      </c>
      <c r="Y25" s="8">
        <f t="shared" si="158"/>
        <v>0.17072029934518243</v>
      </c>
      <c r="Z25" s="8">
        <f t="shared" si="158"/>
        <v>0.16335286730849732</v>
      </c>
      <c r="AA25" s="8">
        <f t="shared" si="158"/>
        <v>0.1216503615482773</v>
      </c>
      <c r="AB25" s="8">
        <f t="shared" si="158"/>
        <v>0.21941968518869712</v>
      </c>
      <c r="AC25" s="8">
        <f t="shared" ref="AC25:AD25" si="159">AC18/AC17</f>
        <v>0.15</v>
      </c>
      <c r="AD25" s="8">
        <f t="shared" si="159"/>
        <v>0.15</v>
      </c>
      <c r="AE25" s="8"/>
      <c r="AH25" s="8">
        <f t="shared" ref="AH25" si="160">AH18/AH17</f>
        <v>0.24969412724306683</v>
      </c>
      <c r="AI25" s="8">
        <f t="shared" ref="AI25:AJ25" si="161">AI18/AI17</f>
        <v>0.39274076755973925</v>
      </c>
      <c r="AJ25" s="8">
        <f t="shared" si="161"/>
        <v>0.118483782727628</v>
      </c>
      <c r="AK25" s="8">
        <f t="shared" ref="AK25:AL25" si="162">AK18/AK17</f>
        <v>8.1813340434030102E-2</v>
      </c>
      <c r="AL25" s="8">
        <f t="shared" si="162"/>
        <v>0.12129246064623032</v>
      </c>
      <c r="AM25" s="8">
        <f t="shared" ref="AM25:AN25" si="163">AM18/AM17</f>
        <v>9.8238374861133168E-2</v>
      </c>
      <c r="AN25" s="8">
        <f t="shared" si="163"/>
        <v>0.16928055763007216</v>
      </c>
      <c r="AO25" s="8">
        <f t="shared" ref="AO25:AV25" si="164">AO18/AO17</f>
        <v>0.12277298483842976</v>
      </c>
      <c r="AP25" s="8">
        <f t="shared" si="164"/>
        <v>0.12996484404218711</v>
      </c>
      <c r="AQ25" s="8">
        <f t="shared" si="164"/>
        <v>0.14193392522800019</v>
      </c>
      <c r="AR25" s="8">
        <f t="shared" si="164"/>
        <v>0.16255502262264027</v>
      </c>
      <c r="AS25" s="8">
        <f t="shared" si="164"/>
        <v>0.15</v>
      </c>
      <c r="AT25" s="8">
        <f t="shared" si="164"/>
        <v>0.15</v>
      </c>
      <c r="AU25" s="8">
        <f t="shared" si="164"/>
        <v>0.15</v>
      </c>
      <c r="AV25" s="8">
        <f t="shared" si="164"/>
        <v>0.15</v>
      </c>
      <c r="AW25" s="8">
        <f t="shared" ref="AW25:BA25" si="165">AW18/AW17</f>
        <v>0.15</v>
      </c>
      <c r="AX25" s="8">
        <f t="shared" si="165"/>
        <v>0.15</v>
      </c>
      <c r="AY25" s="8">
        <f t="shared" si="165"/>
        <v>0.15</v>
      </c>
      <c r="AZ25" s="8">
        <f t="shared" si="165"/>
        <v>0.15</v>
      </c>
      <c r="BA25" s="8">
        <f t="shared" si="165"/>
        <v>0.15</v>
      </c>
      <c r="BE25" t="s">
        <v>38</v>
      </c>
      <c r="BF25" s="10">
        <v>0.05</v>
      </c>
    </row>
    <row r="26" spans="2:111" x14ac:dyDescent="0.25">
      <c r="BE26" t="s">
        <v>40</v>
      </c>
      <c r="BF26" s="2">
        <f>NPV(BF24,AO19:DG19)+Main!K5</f>
        <v>133977.42072935816</v>
      </c>
    </row>
    <row r="27" spans="2:111" s="2" customFormat="1" x14ac:dyDescent="0.25">
      <c r="B27" s="2" t="s">
        <v>3</v>
      </c>
      <c r="C27" s="4"/>
      <c r="D27" s="4"/>
      <c r="E27" s="4"/>
      <c r="F27" s="4"/>
      <c r="G27" s="4"/>
      <c r="H27" s="4"/>
      <c r="I27" s="4"/>
      <c r="J27" s="4"/>
      <c r="K27" s="4"/>
      <c r="L27" s="4">
        <v>8402</v>
      </c>
      <c r="M27" s="4">
        <f>+L27+M19</f>
        <v>8726.7000000000007</v>
      </c>
      <c r="N27" s="4">
        <f>+M27+N19</f>
        <v>9063.4000000000015</v>
      </c>
      <c r="O27" s="4"/>
      <c r="P27" s="4"/>
      <c r="Q27" s="4"/>
      <c r="R27" s="4"/>
      <c r="S27" s="4"/>
      <c r="T27" s="4"/>
      <c r="U27" s="4"/>
      <c r="V27" s="4">
        <f>2027.4+1985.9+4819.1</f>
        <v>8832.4000000000015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N27" s="2">
        <f>+N27</f>
        <v>9063.4000000000015</v>
      </c>
      <c r="AO27" s="2">
        <f>+AN27+AO19</f>
        <v>10781.800000000001</v>
      </c>
      <c r="AP27" s="2">
        <f t="shared" ref="AP27:AW27" si="166">+AO27+AP19</f>
        <v>13108.100000000002</v>
      </c>
      <c r="AQ27" s="2">
        <f t="shared" si="166"/>
        <v>15949.500000000004</v>
      </c>
      <c r="AR27" s="2">
        <f t="shared" si="166"/>
        <v>19054.477575000004</v>
      </c>
      <c r="AS27" s="2">
        <f t="shared" si="166"/>
        <v>23458.729190437509</v>
      </c>
      <c r="AT27" s="2">
        <f t="shared" si="166"/>
        <v>28738.514509881104</v>
      </c>
      <c r="AU27" s="2">
        <f t="shared" si="166"/>
        <v>35003.168110571052</v>
      </c>
      <c r="AV27" s="2">
        <f t="shared" si="166"/>
        <v>42373.916619700176</v>
      </c>
      <c r="AW27" s="2">
        <f t="shared" si="166"/>
        <v>50985.108988488202</v>
      </c>
      <c r="AX27" s="2">
        <f t="shared" ref="AX27" si="167">+AW27+AX19</f>
        <v>60985.571542388505</v>
      </c>
      <c r="AY27" s="2">
        <f t="shared" ref="AY27" si="168">+AX27+AY19</f>
        <v>72540.100359394171</v>
      </c>
      <c r="AZ27" s="2">
        <f t="shared" ref="AZ27" si="169">+AY27+AZ19</f>
        <v>85831.104786767391</v>
      </c>
      <c r="BA27" s="2">
        <f t="shared" ref="BA27" si="170">+AZ27+BA19</f>
        <v>101060.41729084327</v>
      </c>
      <c r="BE27" s="2" t="s">
        <v>75</v>
      </c>
      <c r="BF27" s="1">
        <f>BF26/Main!K3</f>
        <v>378.29327315302646</v>
      </c>
    </row>
    <row r="28" spans="2:111" s="2" customFormat="1" x14ac:dyDescent="0.25">
      <c r="B28" s="2" t="s">
        <v>57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1225.4000000000001</v>
      </c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2:111" s="2" customFormat="1" x14ac:dyDescent="0.25">
      <c r="B29" s="2" t="s">
        <v>58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>
        <v>1487.2</v>
      </c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111" s="2" customFormat="1" x14ac:dyDescent="0.25">
      <c r="B30" s="2" t="s">
        <v>59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>
        <v>385.1</v>
      </c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111" s="2" customFormat="1" x14ac:dyDescent="0.25">
      <c r="B31" s="2" t="s">
        <v>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4646.6000000000004</v>
      </c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111" s="2" customFormat="1" x14ac:dyDescent="0.25">
      <c r="B32" s="2" t="s">
        <v>61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1045.0999999999999</v>
      </c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2:32" s="2" customFormat="1" x14ac:dyDescent="0.25">
      <c r="B33" s="2" t="s">
        <v>62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>
        <f>773.9+347.5</f>
        <v>1121.4000000000001</v>
      </c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2:32" s="2" customFormat="1" x14ac:dyDescent="0.25">
      <c r="B34" s="2" t="s">
        <v>63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f>SUM(V27:V33)</f>
        <v>18743.200000000004</v>
      </c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6" spans="2:32" s="2" customFormat="1" x14ac:dyDescent="0.25">
      <c r="B36" s="2" t="s">
        <v>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193.4</v>
      </c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2" s="2" customFormat="1" x14ac:dyDescent="0.25">
      <c r="B37" s="2" t="s">
        <v>69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>
        <v>535.6</v>
      </c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2" s="2" customFormat="1" x14ac:dyDescent="0.25">
      <c r="B38" s="2" t="s">
        <v>68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>
        <v>468.8</v>
      </c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2" s="2" customFormat="1" x14ac:dyDescent="0.25">
      <c r="B39" s="2" t="s">
        <v>67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>
        <v>547.5</v>
      </c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2" s="2" customFormat="1" x14ac:dyDescent="0.25">
      <c r="B40" s="2" t="s">
        <v>66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468.3</v>
      </c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2" s="2" customFormat="1" x14ac:dyDescent="0.25">
      <c r="B41" s="2" t="s">
        <v>65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>
        <v>16529.599999999999</v>
      </c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2" s="2" customFormat="1" x14ac:dyDescent="0.25">
      <c r="B42" s="2" t="s">
        <v>64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>
        <f>SUM(V36:V41)</f>
        <v>18743.199999999997</v>
      </c>
      <c r="W42" s="4"/>
      <c r="X42" s="4"/>
      <c r="Y42" s="4"/>
      <c r="Z42" s="4"/>
      <c r="AA42" s="4"/>
      <c r="AB42" s="4"/>
      <c r="AC42" s="4"/>
      <c r="AD42" s="4"/>
      <c r="AE42" s="4"/>
      <c r="AF42" s="4"/>
    </row>
  </sheetData>
  <hyperlinks>
    <hyperlink ref="A1" location="Main!A1" display="Main" xr:uid="{B2D8A783-362C-4B88-B9E5-047C72375CA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2022-07-22T04:24:37Z</dcterms:created>
  <dcterms:modified xsi:type="dcterms:W3CDTF">2026-07-17T13:14:30Z</dcterms:modified>
</cp:coreProperties>
</file>