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F880BF04-0418-46F9-B09B-C2CB596A65FC}" xr6:coauthVersionLast="47" xr6:coauthVersionMax="47" xr10:uidLastSave="{00000000-0000-0000-0000-000000000000}"/>
  <bookViews>
    <workbookView xWindow="12240" yWindow="2230" windowWidth="22360" windowHeight="16580" activeTab="1" xr2:uid="{991F447D-7E9C-4CDE-95F8-507BD221DAD2}"/>
  </bookViews>
  <sheets>
    <sheet name="Main" sheetId="1" r:id="rId1"/>
    <sheet name="Model" sheetId="2" r:id="rId2"/>
    <sheet name="Brinsupr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" i="2" l="1"/>
  <c r="AH6" i="2"/>
  <c r="AN19" i="2"/>
  <c r="AO19" i="2" s="1"/>
  <c r="AO11" i="2"/>
  <c r="AO12" i="2" s="1"/>
  <c r="AN11" i="2"/>
  <c r="AN12" i="2" s="1"/>
  <c r="AL11" i="2"/>
  <c r="AM11" i="2"/>
  <c r="AO5" i="2"/>
  <c r="AN5" i="2"/>
  <c r="AE14" i="2"/>
  <c r="AD22" i="2"/>
  <c r="V11" i="2"/>
  <c r="U11" i="2"/>
  <c r="T11" i="2"/>
  <c r="V12" i="2"/>
  <c r="V13" i="2" s="1"/>
  <c r="V15" i="2" s="1"/>
  <c r="V17" i="2" s="1"/>
  <c r="U12" i="2"/>
  <c r="U13" i="2" s="1"/>
  <c r="U15" i="2" s="1"/>
  <c r="U17" i="2" s="1"/>
  <c r="T12" i="2"/>
  <c r="T13" i="2" s="1"/>
  <c r="T15" i="2" s="1"/>
  <c r="T17" i="2" s="1"/>
  <c r="T22" i="2" s="1"/>
  <c r="V9" i="2"/>
  <c r="U9" i="2"/>
  <c r="T9" i="2"/>
  <c r="V8" i="2"/>
  <c r="U8" i="2"/>
  <c r="T8" i="2"/>
  <c r="AF6" i="2"/>
  <c r="AE6" i="2"/>
  <c r="V6" i="2"/>
  <c r="U6" i="2"/>
  <c r="T6" i="2"/>
  <c r="AF19" i="2"/>
  <c r="AG19" i="2" s="1"/>
  <c r="AE19" i="2"/>
  <c r="AF5" i="2"/>
  <c r="AG5" i="2" s="1"/>
  <c r="AH5" i="2" s="1"/>
  <c r="AI5" i="2" s="1"/>
  <c r="AJ5" i="2" s="1"/>
  <c r="AK5" i="2" s="1"/>
  <c r="AL5" i="2" s="1"/>
  <c r="AM5" i="2" s="1"/>
  <c r="AE5" i="2"/>
  <c r="AD19" i="2"/>
  <c r="AD16" i="2"/>
  <c r="AD14" i="2"/>
  <c r="AD11" i="2"/>
  <c r="AE11" i="2" s="1"/>
  <c r="AD10" i="2"/>
  <c r="AD8" i="2"/>
  <c r="AD5" i="2"/>
  <c r="AE2" i="2"/>
  <c r="AF2" i="2"/>
  <c r="AG2" i="2"/>
  <c r="AH2" i="2"/>
  <c r="AI2" i="2" s="1"/>
  <c r="AJ2" i="2" s="1"/>
  <c r="AK2" i="2" s="1"/>
  <c r="AL2" i="2" s="1"/>
  <c r="AM2" i="2" s="1"/>
  <c r="AN2" i="2" s="1"/>
  <c r="AO2" i="2" s="1"/>
  <c r="AD2" i="2"/>
  <c r="AC2" i="2"/>
  <c r="AB2" i="2"/>
  <c r="AA2" i="2"/>
  <c r="M7" i="2"/>
  <c r="N12" i="2"/>
  <c r="R14" i="2"/>
  <c r="R12" i="2"/>
  <c r="N7" i="2"/>
  <c r="N9" i="2" s="1"/>
  <c r="T5" i="2"/>
  <c r="U5" i="2" s="1"/>
  <c r="V5" i="2" s="1"/>
  <c r="T7" i="2"/>
  <c r="Q7" i="2"/>
  <c r="P7" i="2"/>
  <c r="O7" i="2"/>
  <c r="O9" i="2" s="1"/>
  <c r="S7" i="2"/>
  <c r="S9" i="2" s="1"/>
  <c r="R7" i="2"/>
  <c r="R9" i="2" s="1"/>
  <c r="Q15" i="2"/>
  <c r="P15" i="2"/>
  <c r="O14" i="2"/>
  <c r="S14" i="2"/>
  <c r="O12" i="2"/>
  <c r="S12" i="2"/>
  <c r="L5" i="1"/>
  <c r="G7" i="2"/>
  <c r="K7" i="2"/>
  <c r="L4" i="1"/>
  <c r="L7" i="1" s="1"/>
  <c r="U22" i="2" l="1"/>
  <c r="V22" i="2" s="1"/>
  <c r="AE12" i="2"/>
  <c r="AF11" i="2"/>
  <c r="AG11" i="2" s="1"/>
  <c r="AH11" i="2" s="1"/>
  <c r="AI11" i="2" s="1"/>
  <c r="AJ11" i="2" s="1"/>
  <c r="AK11" i="2" s="1"/>
  <c r="AD12" i="2"/>
  <c r="AH19" i="2"/>
  <c r="AG12" i="2"/>
  <c r="O13" i="2"/>
  <c r="O15" i="2" s="1"/>
  <c r="O17" i="2" s="1"/>
  <c r="O18" i="2" s="1"/>
  <c r="S13" i="2"/>
  <c r="S15" i="2" s="1"/>
  <c r="S17" i="2" s="1"/>
  <c r="S18" i="2" s="1"/>
  <c r="R13" i="2"/>
  <c r="R15" i="2" s="1"/>
  <c r="R17" i="2" s="1"/>
  <c r="R18" i="2" s="1"/>
  <c r="N13" i="2"/>
  <c r="N15" i="2" s="1"/>
  <c r="N17" i="2" s="1"/>
  <c r="N18" i="2" s="1"/>
  <c r="AF12" i="2" l="1"/>
  <c r="AI19" i="2"/>
  <c r="AH12" i="2"/>
  <c r="U7" i="2"/>
  <c r="V7" i="2"/>
  <c r="AD6" i="2" l="1"/>
  <c r="AJ19" i="2"/>
  <c r="AI12" i="2"/>
  <c r="AD7" i="2" l="1"/>
  <c r="AD9" i="2" s="1"/>
  <c r="AD13" i="2" s="1"/>
  <c r="AK19" i="2"/>
  <c r="AJ12" i="2"/>
  <c r="AD15" i="2" l="1"/>
  <c r="AD17" i="2" s="1"/>
  <c r="AD18" i="2" s="1"/>
  <c r="AE7" i="2"/>
  <c r="AE8" i="2" s="1"/>
  <c r="AE9" i="2" s="1"/>
  <c r="AE13" i="2" s="1"/>
  <c r="AE15" i="2" s="1"/>
  <c r="AE16" i="2" s="1"/>
  <c r="AE17" i="2" s="1"/>
  <c r="AL19" i="2"/>
  <c r="AK12" i="2"/>
  <c r="AE18" i="2" l="1"/>
  <c r="AE22" i="2"/>
  <c r="AG6" i="2"/>
  <c r="AF7" i="2"/>
  <c r="AF8" i="2" s="1"/>
  <c r="AF9" i="2" s="1"/>
  <c r="AF13" i="2" s="1"/>
  <c r="AM19" i="2"/>
  <c r="AM12" i="2"/>
  <c r="AL12" i="2"/>
  <c r="AF14" i="2" l="1"/>
  <c r="AF15" i="2"/>
  <c r="AF16" i="2" s="1"/>
  <c r="AF17" i="2" s="1"/>
  <c r="AF18" i="2"/>
  <c r="AG7" i="2"/>
  <c r="AG8" i="2" s="1"/>
  <c r="AG9" i="2" s="1"/>
  <c r="AG13" i="2" s="1"/>
  <c r="AF22" i="2" l="1"/>
  <c r="AG14" i="2"/>
  <c r="AG15" i="2"/>
  <c r="AG16" i="2" s="1"/>
  <c r="AG17" i="2" s="1"/>
  <c r="AG18" i="2" s="1"/>
  <c r="AJ6" i="2"/>
  <c r="AK6" i="2" s="1"/>
  <c r="AL6" i="2" s="1"/>
  <c r="AM6" i="2" s="1"/>
  <c r="AN6" i="2" s="1"/>
  <c r="AH7" i="2"/>
  <c r="AH8" i="2" s="1"/>
  <c r="AH9" i="2" s="1"/>
  <c r="AH13" i="2" s="1"/>
  <c r="AO6" i="2" l="1"/>
  <c r="AO7" i="2" s="1"/>
  <c r="AO8" i="2" s="1"/>
  <c r="AO9" i="2" s="1"/>
  <c r="AO13" i="2" s="1"/>
  <c r="AN7" i="2"/>
  <c r="AN8" i="2" s="1"/>
  <c r="AN9" i="2" s="1"/>
  <c r="AN13" i="2" s="1"/>
  <c r="AG22" i="2"/>
  <c r="AI7" i="2"/>
  <c r="AI8" i="2" s="1"/>
  <c r="AI9" i="2" s="1"/>
  <c r="AI13" i="2" s="1"/>
  <c r="AH14" i="2" l="1"/>
  <c r="AH15" i="2" s="1"/>
  <c r="AJ7" i="2"/>
  <c r="AJ8" i="2" s="1"/>
  <c r="AJ9" i="2" s="1"/>
  <c r="AJ13" i="2" s="1"/>
  <c r="AH16" i="2" l="1"/>
  <c r="AH17" i="2"/>
  <c r="AK7" i="2"/>
  <c r="AK8" i="2" s="1"/>
  <c r="AK9" i="2" s="1"/>
  <c r="AK13" i="2" s="1"/>
  <c r="AH22" i="2" l="1"/>
  <c r="AH18" i="2"/>
  <c r="AM7" i="2"/>
  <c r="AM8" i="2" s="1"/>
  <c r="AM9" i="2" s="1"/>
  <c r="AM13" i="2" s="1"/>
  <c r="AL7" i="2"/>
  <c r="AL8" i="2" s="1"/>
  <c r="AL9" i="2" s="1"/>
  <c r="AL13" i="2" s="1"/>
  <c r="AI14" i="2" l="1"/>
  <c r="AI15" i="2" s="1"/>
  <c r="AI16" i="2" l="1"/>
  <c r="AI17" i="2"/>
  <c r="AI18" i="2" l="1"/>
  <c r="AI22" i="2"/>
  <c r="AJ14" i="2" l="1"/>
  <c r="AJ15" i="2" s="1"/>
  <c r="AJ16" i="2" s="1"/>
  <c r="AJ17" i="2" s="1"/>
  <c r="AJ18" i="2" l="1"/>
  <c r="AJ22" i="2"/>
  <c r="AK14" i="2" l="1"/>
  <c r="AK15" i="2" s="1"/>
  <c r="AK16" i="2" l="1"/>
  <c r="AK17" i="2" s="1"/>
  <c r="AK18" i="2" l="1"/>
  <c r="AK22" i="2"/>
  <c r="AL14" i="2" l="1"/>
  <c r="AL15" i="2" s="1"/>
  <c r="AL16" i="2" l="1"/>
  <c r="AL17" i="2" s="1"/>
  <c r="AL18" i="2" l="1"/>
  <c r="AL22" i="2"/>
  <c r="AM14" i="2" l="1"/>
  <c r="AM15" i="2" s="1"/>
  <c r="AM16" i="2" s="1"/>
  <c r="AM17" i="2" s="1"/>
  <c r="AM18" i="2" l="1"/>
  <c r="AM22" i="2"/>
  <c r="AN14" i="2" s="1"/>
  <c r="AN15" i="2" s="1"/>
  <c r="AN16" i="2" l="1"/>
  <c r="AN17" i="2" s="1"/>
  <c r="AN22" i="2" l="1"/>
  <c r="AN18" i="2"/>
  <c r="AO14" i="2" l="1"/>
  <c r="AO15" i="2" s="1"/>
  <c r="AO16" i="2" s="1"/>
  <c r="AO17" i="2" s="1"/>
  <c r="AO18" i="2" l="1"/>
  <c r="AP17" i="2"/>
  <c r="AQ17" i="2" s="1"/>
  <c r="AR17" i="2" s="1"/>
  <c r="AS17" i="2" s="1"/>
  <c r="AT17" i="2" s="1"/>
  <c r="AU17" i="2" s="1"/>
  <c r="AV17" i="2" s="1"/>
  <c r="AW17" i="2" s="1"/>
  <c r="AX17" i="2" s="1"/>
  <c r="AY17" i="2" s="1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BK17" i="2" s="1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AR25" i="2"/>
  <c r="AR26" i="2" s="1"/>
  <c r="AO22" i="2"/>
</calcChain>
</file>

<file path=xl/sharedStrings.xml><?xml version="1.0" encoding="utf-8"?>
<sst xmlns="http://schemas.openxmlformats.org/spreadsheetml/2006/main" count="72" uniqueCount="59">
  <si>
    <t>Price</t>
  </si>
  <si>
    <t>Shares</t>
  </si>
  <si>
    <t>MC</t>
  </si>
  <si>
    <t>Cash</t>
  </si>
  <si>
    <t>Debt</t>
  </si>
  <si>
    <t>EV</t>
  </si>
  <si>
    <t>Q224</t>
  </si>
  <si>
    <t>Main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</si>
  <si>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</si>
  <si>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</si>
  <si>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</si>
  <si>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</si>
  <si>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</si>
  <si>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</si>
  <si>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</si>
  <si>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</si>
  <si>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</si>
  <si>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</si>
  <si>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Q324</t>
  </si>
  <si>
    <t>Q424</t>
  </si>
  <si>
    <t>Name</t>
  </si>
  <si>
    <t>Arikayce</t>
  </si>
  <si>
    <t>brensocatib</t>
  </si>
  <si>
    <t>TPIP</t>
  </si>
  <si>
    <t>DPP1</t>
  </si>
  <si>
    <t>bronchiectasis</t>
  </si>
  <si>
    <t>Q126</t>
  </si>
  <si>
    <t>Q125</t>
  </si>
  <si>
    <t>Q225</t>
  </si>
  <si>
    <t>Q325</t>
  </si>
  <si>
    <t>Q425</t>
  </si>
  <si>
    <t>Q226</t>
  </si>
  <si>
    <t>Q326</t>
  </si>
  <si>
    <t>Q426</t>
  </si>
  <si>
    <t>Operating Expenses</t>
  </si>
  <si>
    <t>Operating Income</t>
  </si>
  <si>
    <t>COGS</t>
  </si>
  <si>
    <t>Gross Profit</t>
  </si>
  <si>
    <t>R&amp;D</t>
  </si>
  <si>
    <t>SG&amp;A</t>
  </si>
  <si>
    <t>Interest Income</t>
  </si>
  <si>
    <t>Pretax Income</t>
  </si>
  <si>
    <t>EPS</t>
  </si>
  <si>
    <t>Net Income</t>
  </si>
  <si>
    <t>Taxes</t>
  </si>
  <si>
    <t>Brinsupri</t>
  </si>
  <si>
    <t>Indication</t>
  </si>
  <si>
    <t>MOA</t>
  </si>
  <si>
    <t>antibiotic</t>
  </si>
  <si>
    <t>Brand</t>
  </si>
  <si>
    <t>Generic</t>
  </si>
  <si>
    <t>Bronchiectasis</t>
  </si>
  <si>
    <t>Mechanism</t>
  </si>
  <si>
    <t>$88k</t>
  </si>
  <si>
    <t>Brinsupri price</t>
  </si>
  <si>
    <t>Discount</t>
  </si>
  <si>
    <t>NPV</t>
  </si>
  <si>
    <t>ROIC</t>
  </si>
  <si>
    <t>Maturity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</si>
</sst>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1"/>
    <xf numFmtId="3" fontId="0" fillId="0" borderId="0" xfId="0" applyNumberForma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E91097C-046B-4FCD-AA89-7F71A75B60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29307</xdr:colOff>
      <xdr:row>0</xdr:row>
      <xdr:rowOff>48846</xdr:rowOff>
    </xdr:from>
    <xdr:to>
      <xdr:col>19</xdr:col>
      <xdr:colOff>29307</xdr:colOff>
      <xdr:row>36</xdr:row>
      <xdr:rowOff>92808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1EEA2E9-E6BA-7A00-7619-2F09B794343B}"/>
            </a:ext>
          </a:extLst>
        </xdr:cNvPr>
        <xdr:cNvCxnSpPr/>
      </xdr:nvCxnSpPr>
      <xdr:spPr>
        <a:xfrm>
          <a:off x="12314115" y="48846"/>
          <a:ext cx="0" cy="552938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25400</xdr:colOff>
      <xdr:row>0</xdr:row>
      <xdr:rowOff>0</xdr:rowOff>
    </xdr:from>
    <xdr:to>
      <xdr:col>29</xdr:col>
      <xdr:colOff>25400</xdr:colOff>
      <xdr:row>36</xdr:row>
      <xdr:rowOff>43962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9371647-D845-4165-9F14-39E6D40735B3}"/>
            </a:ext>
          </a:extLst>
        </xdr:cNvPr>
        <xdr:cNvCxnSpPr/>
      </xdr:nvCxnSpPr>
      <xdr:spPr>
        <a:xfrm>
          <a:off x="18415977" y="0"/>
          <a:ext cx="0" cy="585177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55E7-114B-4DFD-99D8-DA754963CB97}">
  <dimension ref="B2:M9"/>
  <sheetViews>
    <sheetView zoomScale="160" zoomScaleNormal="160" workbookViewId="0">
      <selection activeCell="D2" sqref="D2"/>
    </sheetView>
  </sheetViews>
  <sheetFormatPr defaultRowHeight="12.5" x14ac:dyDescent="0.25"/>
  <cols>
    <col min="1" max="1" width="3.81640625" customWidth="1"/>
    <col min="2" max="2" width="10.54296875" bestFit="1" customWidth="1"/>
    <col min="4" max="4" width="15.453125" customWidth="1"/>
  </cols>
  <sheetData>
    <row r="2" spans="2:13" x14ac:dyDescent="0.25">
      <c r="B2" s="9" t="s">
        <v>20</v>
      </c>
      <c r="C2" s="10" t="s">
        <v>46</v>
      </c>
      <c r="D2" s="10" t="s">
        <v>47</v>
      </c>
      <c r="E2" s="10"/>
      <c r="F2" s="10"/>
      <c r="G2" s="10"/>
      <c r="H2" s="10"/>
      <c r="I2" s="11"/>
      <c r="K2" t="s">
        <v>0</v>
      </c>
      <c r="L2" s="1">
        <v>107</v>
      </c>
    </row>
    <row r="3" spans="2:13" x14ac:dyDescent="0.25">
      <c r="B3" s="4" t="s">
        <v>21</v>
      </c>
      <c r="D3" t="s">
        <v>48</v>
      </c>
      <c r="I3" s="5"/>
      <c r="K3" t="s">
        <v>1</v>
      </c>
      <c r="L3" s="3">
        <v>216.75245100000001</v>
      </c>
      <c r="M3" s="2" t="s">
        <v>26</v>
      </c>
    </row>
    <row r="4" spans="2:13" x14ac:dyDescent="0.25">
      <c r="B4" s="4" t="s">
        <v>22</v>
      </c>
      <c r="C4" t="s">
        <v>25</v>
      </c>
      <c r="D4" t="s">
        <v>24</v>
      </c>
      <c r="I4" s="5"/>
      <c r="K4" t="s">
        <v>2</v>
      </c>
      <c r="L4" s="3">
        <f>+L2*L3</f>
        <v>23192.512257000002</v>
      </c>
    </row>
    <row r="5" spans="2:13" x14ac:dyDescent="0.25">
      <c r="B5" s="9"/>
      <c r="C5" s="10"/>
      <c r="D5" s="10"/>
      <c r="E5" s="10"/>
      <c r="F5" s="10"/>
      <c r="G5" s="10"/>
      <c r="H5" s="10"/>
      <c r="I5" s="11"/>
      <c r="K5" t="s">
        <v>3</v>
      </c>
      <c r="L5" s="3">
        <f>582.188+641.326</f>
        <v>1223.5140000000001</v>
      </c>
      <c r="M5" s="2" t="s">
        <v>26</v>
      </c>
    </row>
    <row r="6" spans="2:13" x14ac:dyDescent="0.25">
      <c r="B6" s="4" t="s">
        <v>23</v>
      </c>
      <c r="I6" s="5"/>
      <c r="K6" t="s">
        <v>4</v>
      </c>
      <c r="L6" s="3">
        <v>542.21500000000003</v>
      </c>
      <c r="M6" s="2" t="s">
        <v>26</v>
      </c>
    </row>
    <row r="7" spans="2:13" x14ac:dyDescent="0.25">
      <c r="B7" s="4"/>
      <c r="I7" s="5"/>
      <c r="K7" t="s">
        <v>5</v>
      </c>
      <c r="L7" s="3">
        <f>+L4-L5+L6</f>
        <v>22511.213257000003</v>
      </c>
    </row>
    <row r="8" spans="2:13" x14ac:dyDescent="0.25">
      <c r="B8" s="4"/>
      <c r="I8" s="5"/>
    </row>
    <row r="9" spans="2:13" x14ac:dyDescent="0.25">
      <c r="B9" s="6"/>
      <c r="C9" s="7"/>
      <c r="D9" s="7"/>
      <c r="E9" s="7"/>
      <c r="F9" s="7"/>
      <c r="G9" s="7"/>
      <c r="H9" s="7"/>
      <c r="I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9DFC-C89B-44F5-B441-B428E423D027}">
  <dimension ref="A1:BW26"/>
  <sheetViews>
    <sheetView tabSelected="1" zoomScale="130" zoomScaleNormal="130" workbookViewId="0">
      <pane xSplit="2" ySplit="2" topLeftCell="AH3" activePane="bottomRight" state="frozen"/>
      <selection pane="topRight" activeCell="C1" sqref="C1"/>
      <selection pane="bottomLeft" activeCell="A3" sqref="A3"/>
      <selection pane="bottomRight" activeCell="AR22" sqref="AR22"/>
    </sheetView>
  </sheetViews>
  <sheetFormatPr defaultRowHeight="12.5" x14ac:dyDescent="0.25"/>
  <cols>
    <col min="1" max="1" width="5" bestFit="1" customWidth="1"/>
    <col min="2" max="2" width="17.1796875" bestFit="1" customWidth="1"/>
    <col min="3" max="14" width="9.1796875" style="2"/>
    <col min="42" max="42" width="9.54296875" bestFit="1" customWidth="1"/>
  </cols>
  <sheetData>
    <row r="1" spans="1:41" x14ac:dyDescent="0.25">
      <c r="A1" s="12" t="s">
        <v>7</v>
      </c>
    </row>
    <row r="2" spans="1:41" x14ac:dyDescent="0.25"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6</v>
      </c>
      <c r="M2" s="2" t="s">
        <v>18</v>
      </c>
      <c r="N2" s="2" t="s">
        <v>19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26</v>
      </c>
      <c r="T2" s="2" t="s">
        <v>31</v>
      </c>
      <c r="U2" s="2" t="s">
        <v>32</v>
      </c>
      <c r="V2" s="2" t="s">
        <v>33</v>
      </c>
      <c r="Z2">
        <v>2022</v>
      </c>
      <c r="AA2">
        <f>+Z2+1</f>
        <v>2023</v>
      </c>
      <c r="AB2">
        <f>+AA2+1</f>
        <v>2024</v>
      </c>
      <c r="AC2">
        <f>+AB2+1</f>
        <v>2025</v>
      </c>
      <c r="AD2">
        <f>+AC2+1</f>
        <v>2026</v>
      </c>
      <c r="AE2">
        <f t="shared" ref="AE2:AO2" si="0">+AD2+1</f>
        <v>2027</v>
      </c>
      <c r="AF2">
        <f t="shared" si="0"/>
        <v>2028</v>
      </c>
      <c r="AG2">
        <f t="shared" si="0"/>
        <v>2029</v>
      </c>
      <c r="AH2">
        <f t="shared" si="0"/>
        <v>2030</v>
      </c>
      <c r="AI2">
        <f t="shared" si="0"/>
        <v>2031</v>
      </c>
      <c r="AJ2">
        <f t="shared" si="0"/>
        <v>2032</v>
      </c>
      <c r="AK2">
        <f t="shared" si="0"/>
        <v>2033</v>
      </c>
      <c r="AL2">
        <f t="shared" si="0"/>
        <v>2034</v>
      </c>
      <c r="AM2">
        <f t="shared" si="0"/>
        <v>2035</v>
      </c>
      <c r="AN2">
        <f t="shared" si="0"/>
        <v>2036</v>
      </c>
      <c r="AO2">
        <f t="shared" si="0"/>
        <v>2037</v>
      </c>
    </row>
    <row r="3" spans="1:41" x14ac:dyDescent="0.25">
      <c r="B3" t="s">
        <v>54</v>
      </c>
      <c r="O3" s="2"/>
      <c r="P3" s="2"/>
      <c r="Q3" s="2"/>
      <c r="R3" s="2"/>
      <c r="S3" s="2"/>
      <c r="T3" s="2"/>
      <c r="U3" s="2"/>
      <c r="V3" s="2"/>
    </row>
    <row r="4" spans="1:41" x14ac:dyDescent="0.25">
      <c r="O4" s="2"/>
      <c r="P4" s="2"/>
      <c r="Q4" s="2"/>
      <c r="R4" s="2"/>
      <c r="S4" s="2"/>
      <c r="T4" s="2"/>
      <c r="U4" s="2"/>
      <c r="V4" s="2"/>
    </row>
    <row r="5" spans="1:41" s="3" customFormat="1" x14ac:dyDescent="0.25">
      <c r="B5" s="3" t="s">
        <v>21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>
        <v>93.4</v>
      </c>
      <c r="N5" s="13">
        <v>104.4</v>
      </c>
      <c r="O5" s="13">
        <v>92.822999999999993</v>
      </c>
      <c r="P5" s="13"/>
      <c r="Q5" s="13">
        <v>114.3</v>
      </c>
      <c r="R5" s="13">
        <v>119.2</v>
      </c>
      <c r="S5" s="13">
        <v>98.11</v>
      </c>
      <c r="T5" s="13">
        <f>+S5</f>
        <v>98.11</v>
      </c>
      <c r="U5" s="13">
        <f>+T5</f>
        <v>98.11</v>
      </c>
      <c r="V5" s="13">
        <f>+U5</f>
        <v>98.11</v>
      </c>
      <c r="AD5" s="3">
        <f>SUM(S5:V5)</f>
        <v>392.44</v>
      </c>
      <c r="AE5" s="3">
        <f>+AD5</f>
        <v>392.44</v>
      </c>
      <c r="AF5" s="3">
        <f t="shared" ref="AF5:AO5" si="1">+AE5</f>
        <v>392.44</v>
      </c>
      <c r="AG5" s="3">
        <f t="shared" si="1"/>
        <v>392.44</v>
      </c>
      <c r="AH5" s="3">
        <f t="shared" si="1"/>
        <v>392.44</v>
      </c>
      <c r="AI5" s="3">
        <f t="shared" si="1"/>
        <v>392.44</v>
      </c>
      <c r="AJ5" s="3">
        <f t="shared" si="1"/>
        <v>392.44</v>
      </c>
      <c r="AK5" s="3">
        <f t="shared" si="1"/>
        <v>392.44</v>
      </c>
      <c r="AL5" s="3">
        <f t="shared" si="1"/>
        <v>392.44</v>
      </c>
      <c r="AM5" s="3">
        <f t="shared" si="1"/>
        <v>392.44</v>
      </c>
      <c r="AN5" s="3">
        <f t="shared" si="1"/>
        <v>392.44</v>
      </c>
      <c r="AO5" s="3">
        <f t="shared" si="1"/>
        <v>392.44</v>
      </c>
    </row>
    <row r="6" spans="1:41" s="3" customFormat="1" x14ac:dyDescent="0.25">
      <c r="B6" s="3" t="s">
        <v>45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>
        <v>0</v>
      </c>
      <c r="N6" s="13">
        <v>0</v>
      </c>
      <c r="O6" s="13">
        <v>0</v>
      </c>
      <c r="P6" s="13">
        <v>0</v>
      </c>
      <c r="Q6" s="13">
        <v>28.1</v>
      </c>
      <c r="R6" s="13">
        <v>144.6</v>
      </c>
      <c r="S6" s="13">
        <v>207.85400000000001</v>
      </c>
      <c r="T6" s="13">
        <f>+S6+75</f>
        <v>282.85400000000004</v>
      </c>
      <c r="U6" s="13">
        <f>+T6+75</f>
        <v>357.85400000000004</v>
      </c>
      <c r="V6" s="13">
        <f>+U6+75</f>
        <v>432.85400000000004</v>
      </c>
      <c r="AD6" s="3">
        <f>SUM(S6:V6)</f>
        <v>1281.4160000000002</v>
      </c>
      <c r="AE6" s="3">
        <f>+AD6*1.9</f>
        <v>2434.6904000000004</v>
      </c>
      <c r="AF6" s="3">
        <f>+AE6*1.5</f>
        <v>3652.0356000000006</v>
      </c>
      <c r="AG6" s="3">
        <f>+AF6*1.4</f>
        <v>5112.8498400000008</v>
      </c>
      <c r="AH6" s="3">
        <f>+AG6*1.2</f>
        <v>6135.4198080000006</v>
      </c>
      <c r="AI6" s="3">
        <f>+AH6*1.2</f>
        <v>7362.5037696000009</v>
      </c>
      <c r="AJ6" s="3">
        <f>+AI6*1.04</f>
        <v>7657.0039203840015</v>
      </c>
      <c r="AK6" s="3">
        <f t="shared" ref="AK6:AM6" si="2">+AJ6*1.04</f>
        <v>7963.2840771993615</v>
      </c>
      <c r="AL6" s="3">
        <f t="shared" si="2"/>
        <v>8281.815440287337</v>
      </c>
      <c r="AM6" s="3">
        <f t="shared" si="2"/>
        <v>8613.0880578988308</v>
      </c>
      <c r="AN6" s="3">
        <f>+AM6*0.1</f>
        <v>861.30880578988308</v>
      </c>
      <c r="AO6" s="3">
        <f>+AN6*0.1</f>
        <v>86.130880578988311</v>
      </c>
    </row>
    <row r="7" spans="1:41" s="14" customFormat="1" ht="13" x14ac:dyDescent="0.3">
      <c r="B7" s="14" t="s">
        <v>8</v>
      </c>
      <c r="C7" s="15"/>
      <c r="D7" s="15"/>
      <c r="E7" s="15"/>
      <c r="F7" s="15"/>
      <c r="G7" s="15">
        <f>142.443-H7</f>
        <v>65.214000000000013</v>
      </c>
      <c r="H7" s="15">
        <v>77.228999999999999</v>
      </c>
      <c r="I7" s="15"/>
      <c r="J7" s="15"/>
      <c r="K7" s="15">
        <f>165.84-L7</f>
        <v>75.5</v>
      </c>
      <c r="L7" s="15">
        <v>90.34</v>
      </c>
      <c r="M7" s="14">
        <f t="shared" ref="M7:Q7" si="3">+M6+M5</f>
        <v>93.4</v>
      </c>
      <c r="N7" s="14">
        <f t="shared" si="3"/>
        <v>104.4</v>
      </c>
      <c r="O7" s="14">
        <f t="shared" si="3"/>
        <v>92.822999999999993</v>
      </c>
      <c r="P7" s="14">
        <f t="shared" si="3"/>
        <v>0</v>
      </c>
      <c r="Q7" s="14">
        <f t="shared" si="3"/>
        <v>142.4</v>
      </c>
      <c r="R7" s="14">
        <f>+R6+R5</f>
        <v>263.8</v>
      </c>
      <c r="S7" s="14">
        <f>+S6+S5</f>
        <v>305.964</v>
      </c>
      <c r="T7" s="14">
        <f>+T6+T5</f>
        <v>380.96400000000006</v>
      </c>
      <c r="U7" s="14">
        <f>+U6+U5</f>
        <v>455.96400000000006</v>
      </c>
      <c r="V7" s="14">
        <f>+V6+V5</f>
        <v>530.96400000000006</v>
      </c>
      <c r="AD7" s="14">
        <f>+AD6+AD5</f>
        <v>1673.8560000000002</v>
      </c>
      <c r="AE7" s="14">
        <f>+AE6+AE5</f>
        <v>2827.1304000000005</v>
      </c>
      <c r="AF7" s="14">
        <f t="shared" ref="AF7:AO7" si="4">+AF6+AF5</f>
        <v>4044.4756000000007</v>
      </c>
      <c r="AG7" s="14">
        <f t="shared" si="4"/>
        <v>5505.2898400000004</v>
      </c>
      <c r="AH7" s="14">
        <f t="shared" si="4"/>
        <v>6527.8598080000002</v>
      </c>
      <c r="AI7" s="14">
        <f t="shared" si="4"/>
        <v>7754.9437696000005</v>
      </c>
      <c r="AJ7" s="14">
        <f t="shared" si="4"/>
        <v>8049.4439203840011</v>
      </c>
      <c r="AK7" s="14">
        <f t="shared" si="4"/>
        <v>8355.724077199362</v>
      </c>
      <c r="AL7" s="14">
        <f t="shared" si="4"/>
        <v>8674.2554402873375</v>
      </c>
      <c r="AM7" s="14">
        <f t="shared" si="4"/>
        <v>9005.5280578988313</v>
      </c>
      <c r="AN7" s="14">
        <f t="shared" si="4"/>
        <v>1253.7488057898831</v>
      </c>
      <c r="AO7" s="14">
        <f t="shared" si="4"/>
        <v>478.57088057898829</v>
      </c>
    </row>
    <row r="8" spans="1:41" s="3" customFormat="1" x14ac:dyDescent="0.25">
      <c r="B8" s="3" t="s">
        <v>36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3">
        <v>21.277999999999999</v>
      </c>
      <c r="R8" s="3">
        <v>44.22</v>
      </c>
      <c r="S8" s="3">
        <v>47.42</v>
      </c>
      <c r="T8" s="3">
        <f>+T7*0.1</f>
        <v>38.09640000000001</v>
      </c>
      <c r="U8" s="3">
        <f>+U7*0.1</f>
        <v>45.59640000000001</v>
      </c>
      <c r="V8" s="3">
        <f>+V7*0.1</f>
        <v>53.09640000000001</v>
      </c>
      <c r="AD8" s="3">
        <f>SUM(S8:V8)</f>
        <v>184.20920000000004</v>
      </c>
      <c r="AE8" s="3">
        <f>+AE7*0.1</f>
        <v>282.71304000000003</v>
      </c>
      <c r="AF8" s="3">
        <f t="shared" ref="AF8:AM8" si="5">+AF7*0.1</f>
        <v>404.44756000000007</v>
      </c>
      <c r="AG8" s="3">
        <f t="shared" si="5"/>
        <v>550.52898400000004</v>
      </c>
      <c r="AH8" s="3">
        <f t="shared" si="5"/>
        <v>652.78598080000006</v>
      </c>
      <c r="AI8" s="3">
        <f t="shared" si="5"/>
        <v>775.49437696000007</v>
      </c>
      <c r="AJ8" s="3">
        <f t="shared" si="5"/>
        <v>804.94439203840011</v>
      </c>
      <c r="AK8" s="3">
        <f t="shared" si="5"/>
        <v>835.57240771993622</v>
      </c>
      <c r="AL8" s="3">
        <f t="shared" si="5"/>
        <v>867.42554402873384</v>
      </c>
      <c r="AM8" s="3">
        <f t="shared" si="5"/>
        <v>900.55280578988322</v>
      </c>
      <c r="AN8" s="3">
        <f t="shared" ref="AN8" si="6">+AN7*0.1</f>
        <v>125.37488057898832</v>
      </c>
      <c r="AO8" s="3">
        <f t="shared" ref="AO8" si="7">+AO7*0.1</f>
        <v>47.857088057898835</v>
      </c>
    </row>
    <row r="9" spans="1:41" s="3" customFormat="1" x14ac:dyDescent="0.25">
      <c r="B9" s="3" t="s">
        <v>37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3">
        <f>+N7-N8</f>
        <v>104.4</v>
      </c>
      <c r="O9" s="3">
        <f>+O7-O8</f>
        <v>71.544999999999987</v>
      </c>
      <c r="R9" s="3">
        <f>+R7-R8</f>
        <v>219.58</v>
      </c>
      <c r="S9" s="3">
        <f>+S7-S8</f>
        <v>258.54399999999998</v>
      </c>
      <c r="T9" s="3">
        <f>+T7-T8</f>
        <v>342.86760000000004</v>
      </c>
      <c r="U9" s="3">
        <f>+U7-U8</f>
        <v>410.36760000000004</v>
      </c>
      <c r="V9" s="3">
        <f>+V7-V8</f>
        <v>477.86760000000004</v>
      </c>
      <c r="AD9" s="3">
        <f>+AD7-AD8</f>
        <v>1489.6468000000002</v>
      </c>
      <c r="AE9" s="3">
        <f>+AE7-AE8</f>
        <v>2544.4173600000004</v>
      </c>
      <c r="AF9" s="3">
        <f t="shared" ref="AF9:AM9" si="8">+AF7-AF8</f>
        <v>3640.0280400000006</v>
      </c>
      <c r="AG9" s="3">
        <f t="shared" si="8"/>
        <v>4954.7608560000008</v>
      </c>
      <c r="AH9" s="3">
        <f t="shared" si="8"/>
        <v>5875.0738271999999</v>
      </c>
      <c r="AI9" s="3">
        <f t="shared" si="8"/>
        <v>6979.44939264</v>
      </c>
      <c r="AJ9" s="3">
        <f t="shared" si="8"/>
        <v>7244.499528345601</v>
      </c>
      <c r="AK9" s="3">
        <f t="shared" si="8"/>
        <v>7520.1516694794254</v>
      </c>
      <c r="AL9" s="3">
        <f t="shared" si="8"/>
        <v>7806.8298962586032</v>
      </c>
      <c r="AM9" s="3">
        <f t="shared" si="8"/>
        <v>8104.9752521089486</v>
      </c>
      <c r="AN9" s="3">
        <f t="shared" ref="AN9" si="9">+AN7-AN8</f>
        <v>1128.3739252108949</v>
      </c>
      <c r="AO9" s="3">
        <f t="shared" ref="AO9" si="10">+AO7-AO8</f>
        <v>430.71379252108943</v>
      </c>
    </row>
    <row r="10" spans="1:41" s="3" customFormat="1" x14ac:dyDescent="0.25">
      <c r="B10" s="3" t="s">
        <v>38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3">
        <v>152.577</v>
      </c>
      <c r="R10" s="3">
        <v>254.911</v>
      </c>
      <c r="S10" s="3">
        <v>209.48500000000001</v>
      </c>
      <c r="AD10" s="3">
        <f t="shared" ref="AD10:AD11" si="11">SUM(S10:V10)</f>
        <v>209.48500000000001</v>
      </c>
    </row>
    <row r="11" spans="1:41" s="3" customFormat="1" x14ac:dyDescent="0.25">
      <c r="B11" s="3" t="s">
        <v>39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3">
        <v>147.54499999999999</v>
      </c>
      <c r="R11" s="3">
        <v>212.483</v>
      </c>
      <c r="S11" s="3">
        <v>247.25899999999999</v>
      </c>
      <c r="T11" s="3">
        <f>+S11</f>
        <v>247.25899999999999</v>
      </c>
      <c r="U11" s="3">
        <f>+T11</f>
        <v>247.25899999999999</v>
      </c>
      <c r="V11" s="3">
        <f>+U11</f>
        <v>247.25899999999999</v>
      </c>
      <c r="AD11" s="3">
        <f t="shared" si="11"/>
        <v>989.03599999999994</v>
      </c>
      <c r="AE11" s="3">
        <f>+AD11*1.03</f>
        <v>1018.70708</v>
      </c>
      <c r="AF11" s="3">
        <f t="shared" ref="AF11:AM11" si="12">+AE11*1.03</f>
        <v>1049.2682924000001</v>
      </c>
      <c r="AG11" s="3">
        <f t="shared" si="12"/>
        <v>1080.746341172</v>
      </c>
      <c r="AH11" s="3">
        <f t="shared" si="12"/>
        <v>1113.1687314071601</v>
      </c>
      <c r="AI11" s="3">
        <f t="shared" si="12"/>
        <v>1146.5637933493749</v>
      </c>
      <c r="AJ11" s="3">
        <f t="shared" si="12"/>
        <v>1180.9607071498563</v>
      </c>
      <c r="AK11" s="3">
        <f t="shared" si="12"/>
        <v>1216.3895283643519</v>
      </c>
      <c r="AL11" s="3">
        <f>+AK11*0.1</f>
        <v>121.63895283643519</v>
      </c>
      <c r="AM11" s="3">
        <f>+AL11*0.1</f>
        <v>12.163895283643519</v>
      </c>
      <c r="AN11" s="3">
        <f t="shared" ref="AN11:AO11" si="13">+AM11*0.1</f>
        <v>1.216389528364352</v>
      </c>
      <c r="AO11" s="3">
        <f t="shared" si="13"/>
        <v>0.12163895283643521</v>
      </c>
    </row>
    <row r="12" spans="1:41" s="3" customFormat="1" x14ac:dyDescent="0.25">
      <c r="B12" s="3" t="s">
        <v>34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3">
        <f t="shared" ref="N12" si="14">+N10+N11</f>
        <v>0</v>
      </c>
      <c r="O12" s="3">
        <f>+O10+O11</f>
        <v>300.12199999999996</v>
      </c>
      <c r="R12" s="3">
        <f t="shared" ref="R12" si="15">+R10+R11</f>
        <v>467.39400000000001</v>
      </c>
      <c r="S12" s="3">
        <f>+S10+S11</f>
        <v>456.74400000000003</v>
      </c>
      <c r="T12" s="3">
        <f>+T10+T11</f>
        <v>247.25899999999999</v>
      </c>
      <c r="U12" s="3">
        <f>+U10+U11</f>
        <v>247.25899999999999</v>
      </c>
      <c r="V12" s="3">
        <f>+V10+V11</f>
        <v>247.25899999999999</v>
      </c>
      <c r="AD12" s="3">
        <f>+AD10+AD11</f>
        <v>1198.521</v>
      </c>
      <c r="AE12" s="3">
        <f t="shared" ref="AE12:AM12" si="16">+AE10+AE11</f>
        <v>1018.70708</v>
      </c>
      <c r="AF12" s="3">
        <f t="shared" si="16"/>
        <v>1049.2682924000001</v>
      </c>
      <c r="AG12" s="3">
        <f t="shared" si="16"/>
        <v>1080.746341172</v>
      </c>
      <c r="AH12" s="3">
        <f t="shared" si="16"/>
        <v>1113.1687314071601</v>
      </c>
      <c r="AI12" s="3">
        <f t="shared" si="16"/>
        <v>1146.5637933493749</v>
      </c>
      <c r="AJ12" s="3">
        <f t="shared" si="16"/>
        <v>1180.9607071498563</v>
      </c>
      <c r="AK12" s="3">
        <f t="shared" si="16"/>
        <v>1216.3895283643519</v>
      </c>
      <c r="AL12" s="3">
        <f t="shared" si="16"/>
        <v>121.63895283643519</v>
      </c>
      <c r="AM12" s="3">
        <f t="shared" si="16"/>
        <v>12.163895283643519</v>
      </c>
      <c r="AN12" s="3">
        <f t="shared" ref="AN12" si="17">+AN10+AN11</f>
        <v>1.216389528364352</v>
      </c>
      <c r="AO12" s="3">
        <f t="shared" ref="AO12" si="18">+AO10+AO11</f>
        <v>0.12163895283643521</v>
      </c>
    </row>
    <row r="13" spans="1:41" s="3" customFormat="1" x14ac:dyDescent="0.25">
      <c r="B13" s="3" t="s">
        <v>35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3">
        <f t="shared" ref="N13" si="19">+N9-N12</f>
        <v>104.4</v>
      </c>
      <c r="O13" s="3">
        <f>+O9-O12</f>
        <v>-228.57699999999997</v>
      </c>
      <c r="R13" s="3">
        <f t="shared" ref="R13" si="20">+R9-R12</f>
        <v>-247.81399999999999</v>
      </c>
      <c r="S13" s="3">
        <f>+S9-S12</f>
        <v>-198.20000000000005</v>
      </c>
      <c r="T13" s="3">
        <f>+T9-T12</f>
        <v>95.608600000000052</v>
      </c>
      <c r="U13" s="3">
        <f>+U9-U12</f>
        <v>163.10860000000005</v>
      </c>
      <c r="V13" s="3">
        <f>+V9-V12</f>
        <v>230.60860000000005</v>
      </c>
      <c r="AD13" s="3">
        <f>+AD9-AD12</f>
        <v>291.12580000000025</v>
      </c>
      <c r="AE13" s="3">
        <f t="shared" ref="AE13:AM13" si="21">+AE9-AE12</f>
        <v>1525.7102800000002</v>
      </c>
      <c r="AF13" s="3">
        <f t="shared" si="21"/>
        <v>2590.7597476000005</v>
      </c>
      <c r="AG13" s="3">
        <f t="shared" si="21"/>
        <v>3874.0145148280008</v>
      </c>
      <c r="AH13" s="3">
        <f t="shared" si="21"/>
        <v>4761.9050957928393</v>
      </c>
      <c r="AI13" s="3">
        <f t="shared" si="21"/>
        <v>5832.8855992906247</v>
      </c>
      <c r="AJ13" s="3">
        <f t="shared" si="21"/>
        <v>6063.5388211957452</v>
      </c>
      <c r="AK13" s="3">
        <f t="shared" si="21"/>
        <v>6303.762141115074</v>
      </c>
      <c r="AL13" s="3">
        <f t="shared" si="21"/>
        <v>7685.1909434221679</v>
      </c>
      <c r="AM13" s="3">
        <f t="shared" si="21"/>
        <v>8092.8113568253048</v>
      </c>
      <c r="AN13" s="3">
        <f t="shared" ref="AN13" si="22">+AN9-AN12</f>
        <v>1127.1575356825306</v>
      </c>
      <c r="AO13" s="3">
        <f t="shared" ref="AO13" si="23">+AO9-AO12</f>
        <v>430.59215356825297</v>
      </c>
    </row>
    <row r="14" spans="1:41" x14ac:dyDescent="0.25">
      <c r="B14" s="3" t="s">
        <v>40</v>
      </c>
      <c r="O14" s="3">
        <f t="shared" ref="O14" si="24">12.04-20.082</f>
        <v>-8.0420000000000016</v>
      </c>
      <c r="P14" s="3"/>
      <c r="Q14" s="3"/>
      <c r="R14" s="3">
        <f>15.236-20.599</f>
        <v>-5.3629999999999995</v>
      </c>
      <c r="S14" s="3">
        <f>12.04-20.082</f>
        <v>-8.0420000000000016</v>
      </c>
      <c r="AD14" s="3">
        <f t="shared" ref="AD14" si="25">SUM(S14:V14)</f>
        <v>-8.0420000000000016</v>
      </c>
      <c r="AE14" s="3">
        <f>+AD22*$AR$23</f>
        <v>23.786516000000002</v>
      </c>
      <c r="AF14" s="3">
        <f>+AE22*$AR$23</f>
        <v>50.127961532000008</v>
      </c>
      <c r="AG14" s="3">
        <f>+AF22*$AR$23</f>
        <v>95.023052587244024</v>
      </c>
      <c r="AH14" s="3">
        <f>+AG22*$AR$23</f>
        <v>162.49669123330318</v>
      </c>
      <c r="AI14" s="3">
        <f>+AH22*$AR$23</f>
        <v>246.21152161274762</v>
      </c>
      <c r="AJ14" s="3">
        <f>+AI22*$AR$23</f>
        <v>349.55617266810492</v>
      </c>
      <c r="AK14" s="3">
        <f>+AJ22*$AR$23</f>
        <v>458.5787875637904</v>
      </c>
      <c r="AL14" s="3">
        <f>+AK22*$AR$23</f>
        <v>573.53858335133111</v>
      </c>
      <c r="AM14" s="3">
        <f>+AL22*$AR$23</f>
        <v>713.93698530648066</v>
      </c>
      <c r="AN14" s="3">
        <f>+AM22*$AR$23</f>
        <v>863.65170712272095</v>
      </c>
      <c r="AO14" s="3">
        <f>+AN22*$AR$23</f>
        <v>897.49546425041035</v>
      </c>
    </row>
    <row r="15" spans="1:41" s="3" customFormat="1" x14ac:dyDescent="0.25">
      <c r="B15" s="3" t="s">
        <v>41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3">
        <f t="shared" ref="N15:R15" si="26">+N13+N14</f>
        <v>104.4</v>
      </c>
      <c r="O15" s="3">
        <f t="shared" si="26"/>
        <v>-236.61899999999997</v>
      </c>
      <c r="P15" s="3">
        <f t="shared" si="26"/>
        <v>0</v>
      </c>
      <c r="Q15" s="3">
        <f t="shared" si="26"/>
        <v>0</v>
      </c>
      <c r="R15" s="3">
        <f t="shared" si="26"/>
        <v>-253.17699999999999</v>
      </c>
      <c r="S15" s="3">
        <f>+S13+S14</f>
        <v>-206.24200000000005</v>
      </c>
      <c r="T15" s="3">
        <f>+T13+T14</f>
        <v>95.608600000000052</v>
      </c>
      <c r="U15" s="3">
        <f>+U13+U14</f>
        <v>163.10860000000005</v>
      </c>
      <c r="V15" s="3">
        <f>+V13+V14</f>
        <v>230.60860000000005</v>
      </c>
      <c r="AD15" s="3">
        <f>+AD13+AD14</f>
        <v>283.08380000000022</v>
      </c>
      <c r="AE15" s="3">
        <f t="shared" ref="AE15:AM15" si="27">+AE13+AE14</f>
        <v>1549.4967960000001</v>
      </c>
      <c r="AF15" s="3">
        <f t="shared" si="27"/>
        <v>2640.8877091320005</v>
      </c>
      <c r="AG15" s="3">
        <f t="shared" si="27"/>
        <v>3969.0375674152447</v>
      </c>
      <c r="AH15" s="3">
        <f t="shared" si="27"/>
        <v>4924.4017870261423</v>
      </c>
      <c r="AI15" s="3">
        <f t="shared" si="27"/>
        <v>6079.0971209033723</v>
      </c>
      <c r="AJ15" s="3">
        <f t="shared" si="27"/>
        <v>6413.0949938638505</v>
      </c>
      <c r="AK15" s="3">
        <f t="shared" si="27"/>
        <v>6762.3409286788647</v>
      </c>
      <c r="AL15" s="3">
        <f t="shared" si="27"/>
        <v>8258.7295267734989</v>
      </c>
      <c r="AM15" s="3">
        <f t="shared" si="27"/>
        <v>8806.7483421317847</v>
      </c>
      <c r="AN15" s="3">
        <f t="shared" ref="AN15" si="28">+AN13+AN14</f>
        <v>1990.8092428052514</v>
      </c>
      <c r="AO15" s="3">
        <f t="shared" ref="AO15" si="29">+AO13+AO14</f>
        <v>1328.0876178186634</v>
      </c>
    </row>
    <row r="16" spans="1:41" s="3" customFormat="1" x14ac:dyDescent="0.25">
      <c r="B16" s="3" t="s">
        <v>44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S16" s="3">
        <v>1.4650000000000001</v>
      </c>
      <c r="AD16" s="3">
        <f t="shared" ref="AD16" si="30">SUM(S16:V16)</f>
        <v>1.4650000000000001</v>
      </c>
      <c r="AE16" s="3">
        <f>+AE15*0.15</f>
        <v>232.42451940000001</v>
      </c>
      <c r="AF16" s="3">
        <f t="shared" ref="AF16:AM16" si="31">+AF15*0.15</f>
        <v>396.13315636980008</v>
      </c>
      <c r="AG16" s="3">
        <f t="shared" si="31"/>
        <v>595.35563511228668</v>
      </c>
      <c r="AH16" s="3">
        <f t="shared" si="31"/>
        <v>738.6602680539213</v>
      </c>
      <c r="AI16" s="3">
        <f t="shared" si="31"/>
        <v>911.86456813550581</v>
      </c>
      <c r="AJ16" s="3">
        <f t="shared" si="31"/>
        <v>961.96424907957748</v>
      </c>
      <c r="AK16" s="3">
        <f t="shared" si="31"/>
        <v>1014.3511393018297</v>
      </c>
      <c r="AL16" s="3">
        <f t="shared" si="31"/>
        <v>1238.8094290160248</v>
      </c>
      <c r="AM16" s="3">
        <f t="shared" si="31"/>
        <v>1321.0122513197678</v>
      </c>
      <c r="AN16" s="3">
        <f t="shared" ref="AN16" si="32">+AN15*0.15</f>
        <v>298.6213864207877</v>
      </c>
      <c r="AO16" s="3">
        <f t="shared" ref="AO16" si="33">+AO15*0.15</f>
        <v>199.21314267279951</v>
      </c>
    </row>
    <row r="17" spans="2:75" x14ac:dyDescent="0.25">
      <c r="B17" s="3" t="s">
        <v>43</v>
      </c>
      <c r="N17" s="3">
        <f>+N15-N16</f>
        <v>104.4</v>
      </c>
      <c r="O17" s="3">
        <f>+O15-O16</f>
        <v>-236.61899999999997</v>
      </c>
      <c r="R17" s="3">
        <f>+R15-R16</f>
        <v>-253.17699999999999</v>
      </c>
      <c r="S17" s="3">
        <f>+S15-S16</f>
        <v>-207.70700000000005</v>
      </c>
      <c r="T17" s="3">
        <f>+T15-T16</f>
        <v>95.608600000000052</v>
      </c>
      <c r="U17" s="3">
        <f>+U15-U16</f>
        <v>163.10860000000005</v>
      </c>
      <c r="V17" s="3">
        <f>+V15-V16</f>
        <v>230.60860000000005</v>
      </c>
      <c r="AD17" s="3">
        <f>+AD15-AD16</f>
        <v>281.61880000000025</v>
      </c>
      <c r="AE17" s="3">
        <f t="shared" ref="AE17:AM17" si="34">+AE15-AE16</f>
        <v>1317.0722766000001</v>
      </c>
      <c r="AF17" s="3">
        <f t="shared" si="34"/>
        <v>2244.7545527622005</v>
      </c>
      <c r="AG17" s="3">
        <f t="shared" si="34"/>
        <v>3373.6819323029581</v>
      </c>
      <c r="AH17" s="3">
        <f t="shared" si="34"/>
        <v>4185.7415189722215</v>
      </c>
      <c r="AI17" s="3">
        <f t="shared" si="34"/>
        <v>5167.2325527678668</v>
      </c>
      <c r="AJ17" s="3">
        <f t="shared" si="34"/>
        <v>5451.1307447842728</v>
      </c>
      <c r="AK17" s="3">
        <f t="shared" si="34"/>
        <v>5747.9897893770349</v>
      </c>
      <c r="AL17" s="3">
        <f t="shared" si="34"/>
        <v>7019.9200977574747</v>
      </c>
      <c r="AM17" s="3">
        <f t="shared" si="34"/>
        <v>7485.7360908120172</v>
      </c>
      <c r="AN17" s="3">
        <f t="shared" ref="AN17" si="35">+AN15-AN16</f>
        <v>1692.1878563844637</v>
      </c>
      <c r="AO17" s="3">
        <f t="shared" ref="AO17" si="36">+AO15-AO16</f>
        <v>1128.8744751458639</v>
      </c>
      <c r="AP17" s="3">
        <f>+AO17*(1+$AR$22)</f>
        <v>1095.008240891488</v>
      </c>
      <c r="AQ17" s="3">
        <f>+AP17*(1+$AR$22)</f>
        <v>1062.1579936647433</v>
      </c>
      <c r="AR17" s="3">
        <f>+AQ17*(1+$AR$22)</f>
        <v>1030.2932538548009</v>
      </c>
      <c r="AS17" s="3">
        <f>+AR17*(1+$AR$22)</f>
        <v>999.38445623915686</v>
      </c>
      <c r="AT17" s="3">
        <f>+AS17*(1+$AR$22)</f>
        <v>969.4029225519821</v>
      </c>
      <c r="AU17" s="3">
        <f>+AT17*(1+$AR$22)</f>
        <v>940.32083487542263</v>
      </c>
      <c r="AV17" s="3">
        <f>+AU17*(1+$AR$22)</f>
        <v>912.11120982915998</v>
      </c>
      <c r="AW17" s="3">
        <f>+AV17*(1+$AR$22)</f>
        <v>884.74787353428519</v>
      </c>
      <c r="AX17" s="3">
        <f>+AW17*(1+$AR$22)</f>
        <v>858.20543732825661</v>
      </c>
      <c r="AY17" s="3">
        <f>+AX17*(1+$AR$22)</f>
        <v>832.45927420840894</v>
      </c>
      <c r="AZ17" s="3">
        <f>+AY17*(1+$AR$22)</f>
        <v>807.48549598215664</v>
      </c>
      <c r="BA17" s="3">
        <f>+AZ17*(1+$AR$22)</f>
        <v>783.26093110269187</v>
      </c>
      <c r="BB17" s="3">
        <f>+BA17*(1+$AR$22)</f>
        <v>759.7631031696111</v>
      </c>
      <c r="BC17" s="3">
        <f>+BB17*(1+$AR$22)</f>
        <v>736.9702100745227</v>
      </c>
      <c r="BD17" s="3">
        <f>+BC17*(1+$AR$22)</f>
        <v>714.86110377228704</v>
      </c>
      <c r="BE17" s="3">
        <f>+BD17*(1+$AR$22)</f>
        <v>693.41527065911839</v>
      </c>
      <c r="BF17" s="3">
        <f>+BE17*(1+$AR$22)</f>
        <v>672.61281253934487</v>
      </c>
      <c r="BG17" s="3">
        <f>+BF17*(1+$AR$22)</f>
        <v>652.43442816316451</v>
      </c>
      <c r="BH17" s="3">
        <f>+BG17*(1+$AR$22)</f>
        <v>632.86139531826962</v>
      </c>
      <c r="BI17" s="3">
        <f>+BH17*(1+$AR$22)</f>
        <v>613.87555345872147</v>
      </c>
      <c r="BJ17" s="3">
        <f>+BI17*(1+$AR$22)</f>
        <v>595.45928685495983</v>
      </c>
      <c r="BK17" s="3">
        <f>+BJ17*(1+$AR$22)</f>
        <v>577.59550824931102</v>
      </c>
      <c r="BL17" s="3">
        <f>+BK17*(1+$AR$22)</f>
        <v>560.26764300183163</v>
      </c>
      <c r="BM17" s="3">
        <f>+BL17*(1+$AR$22)</f>
        <v>543.45961371177668</v>
      </c>
      <c r="BN17" s="3">
        <f>+BM17*(1+$AR$22)</f>
        <v>527.15582530042332</v>
      </c>
      <c r="BO17" s="3">
        <f>+BN17*(1+$AR$22)</f>
        <v>511.34115054141063</v>
      </c>
      <c r="BP17" s="3">
        <f>+BO17*(1+$AR$22)</f>
        <v>496.00091602516829</v>
      </c>
      <c r="BQ17" s="3">
        <f>+BP17*(1+$AR$22)</f>
        <v>481.12088854441322</v>
      </c>
      <c r="BR17" s="3">
        <f>+BQ17*(1+$AR$22)</f>
        <v>466.6872618880808</v>
      </c>
      <c r="BS17" s="3">
        <f>+BR17*(1+$AR$22)</f>
        <v>452.68664403143833</v>
      </c>
      <c r="BT17" s="3">
        <f>+BS17*(1+$AR$22)</f>
        <v>439.10604471049515</v>
      </c>
      <c r="BU17" s="3">
        <f>+BT17*(1+$AR$22)</f>
        <v>425.93286336918027</v>
      </c>
      <c r="BV17" s="3">
        <f>+BU17*(1+$AR$22)</f>
        <v>413.15487746810487</v>
      </c>
      <c r="BW17" s="3">
        <f>+BV17*(1+$AR$22)</f>
        <v>400.76023114406172</v>
      </c>
    </row>
    <row r="18" spans="2:75" x14ac:dyDescent="0.25">
      <c r="B18" s="3" t="s">
        <v>42</v>
      </c>
      <c r="N18" s="1" t="e">
        <f>+N17/N19</f>
        <v>#DIV/0!</v>
      </c>
      <c r="O18" s="1">
        <f>+O17/O19</f>
        <v>-1.3217387904212354</v>
      </c>
      <c r="R18" s="1">
        <f>+R17/R19</f>
        <v>-1.1850802997608092</v>
      </c>
      <c r="S18" s="1">
        <f>+S17/S19</f>
        <v>-0.96398073031726317</v>
      </c>
      <c r="AD18" s="1">
        <f>+AD17/AD19</f>
        <v>1.3070098576122684</v>
      </c>
      <c r="AE18" s="1">
        <f>+AE17/AE19</f>
        <v>6.1126119730075938</v>
      </c>
      <c r="AF18" s="1">
        <f t="shared" ref="AF18:AM18" si="37">+AF17/AF19</f>
        <v>10.418041438924577</v>
      </c>
      <c r="AG18" s="1">
        <f t="shared" si="37"/>
        <v>15.657461582708143</v>
      </c>
      <c r="AH18" s="1">
        <f t="shared" si="37"/>
        <v>19.426279164294566</v>
      </c>
      <c r="AI18" s="1">
        <f t="shared" si="37"/>
        <v>23.981438323871142</v>
      </c>
      <c r="AJ18" s="1">
        <f t="shared" si="37"/>
        <v>25.299026977482843</v>
      </c>
      <c r="AK18" s="1">
        <f t="shared" si="37"/>
        <v>26.676767730600531</v>
      </c>
      <c r="AL18" s="1">
        <f t="shared" si="37"/>
        <v>32.579873103001255</v>
      </c>
      <c r="AM18" s="1">
        <f t="shared" si="37"/>
        <v>34.741753257151956</v>
      </c>
      <c r="AN18" s="1">
        <f t="shared" ref="AN18" si="38">+AN17/AN19</f>
        <v>7.8535460318212627</v>
      </c>
      <c r="AO18" s="1">
        <f t="shared" ref="AO18" si="39">+AO17/AO19</f>
        <v>5.2391746112919968</v>
      </c>
    </row>
    <row r="19" spans="2:75" s="3" customFormat="1" x14ac:dyDescent="0.25">
      <c r="B19" s="3" t="s">
        <v>1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3">
        <v>179.02099999999999</v>
      </c>
      <c r="R19" s="3">
        <v>213.637</v>
      </c>
      <c r="S19" s="3">
        <v>215.46799999999999</v>
      </c>
      <c r="AD19" s="3">
        <f>AVERAGE(S19:V19)</f>
        <v>215.46799999999999</v>
      </c>
      <c r="AE19" s="3">
        <f>+AD19</f>
        <v>215.46799999999999</v>
      </c>
      <c r="AF19" s="3">
        <f t="shared" ref="AF19:AM19" si="40">+AE19</f>
        <v>215.46799999999999</v>
      </c>
      <c r="AG19" s="3">
        <f t="shared" si="40"/>
        <v>215.46799999999999</v>
      </c>
      <c r="AH19" s="3">
        <f t="shared" si="40"/>
        <v>215.46799999999999</v>
      </c>
      <c r="AI19" s="3">
        <f t="shared" si="40"/>
        <v>215.46799999999999</v>
      </c>
      <c r="AJ19" s="3">
        <f t="shared" si="40"/>
        <v>215.46799999999999</v>
      </c>
      <c r="AK19" s="3">
        <f t="shared" si="40"/>
        <v>215.46799999999999</v>
      </c>
      <c r="AL19" s="3">
        <f t="shared" si="40"/>
        <v>215.46799999999999</v>
      </c>
      <c r="AM19" s="3">
        <f t="shared" si="40"/>
        <v>215.46799999999999</v>
      </c>
      <c r="AN19" s="3">
        <f t="shared" ref="AN19:AO19" si="41">+AM19</f>
        <v>215.46799999999999</v>
      </c>
      <c r="AO19" s="3">
        <f t="shared" si="41"/>
        <v>215.46799999999999</v>
      </c>
    </row>
    <row r="22" spans="2:75" x14ac:dyDescent="0.25">
      <c r="B22" s="3" t="s">
        <v>3</v>
      </c>
      <c r="S22">
        <v>700</v>
      </c>
      <c r="T22" s="3">
        <f>+S22+T17</f>
        <v>795.60860000000002</v>
      </c>
      <c r="U22" s="3">
        <f>+T22+U17</f>
        <v>958.71720000000005</v>
      </c>
      <c r="V22" s="3">
        <f>+U22+V17</f>
        <v>1189.3258000000001</v>
      </c>
      <c r="AD22" s="3">
        <f>+V22</f>
        <v>1189.3258000000001</v>
      </c>
      <c r="AE22" s="3">
        <f>+AD22+AE17</f>
        <v>2506.3980766000004</v>
      </c>
      <c r="AF22" s="3">
        <f t="shared" ref="AF22:AO22" si="42">+AE22+AF17</f>
        <v>4751.152629362201</v>
      </c>
      <c r="AG22" s="3">
        <f t="shared" si="42"/>
        <v>8124.8345616651586</v>
      </c>
      <c r="AH22" s="3">
        <f t="shared" si="42"/>
        <v>12310.57608063738</v>
      </c>
      <c r="AI22" s="3">
        <f t="shared" si="42"/>
        <v>17477.808633405246</v>
      </c>
      <c r="AJ22" s="3">
        <f t="shared" si="42"/>
        <v>22928.93937818952</v>
      </c>
      <c r="AK22" s="3">
        <f t="shared" si="42"/>
        <v>28676.929167566555</v>
      </c>
      <c r="AL22" s="3">
        <f t="shared" si="42"/>
        <v>35696.849265324032</v>
      </c>
      <c r="AM22" s="3">
        <f t="shared" si="42"/>
        <v>43182.585356136049</v>
      </c>
      <c r="AN22" s="3">
        <f t="shared" si="42"/>
        <v>44874.773212520515</v>
      </c>
      <c r="AO22" s="3">
        <f t="shared" si="42"/>
        <v>46003.64768766638</v>
      </c>
      <c r="AQ22" t="s">
        <v>58</v>
      </c>
      <c r="AR22" s="16">
        <v>-0.03</v>
      </c>
    </row>
    <row r="23" spans="2:75" x14ac:dyDescent="0.25">
      <c r="AQ23" t="s">
        <v>57</v>
      </c>
      <c r="AR23" s="16">
        <v>0.02</v>
      </c>
    </row>
    <row r="24" spans="2:75" x14ac:dyDescent="0.25">
      <c r="AQ24" t="s">
        <v>55</v>
      </c>
      <c r="AR24" s="16">
        <v>7.0000000000000007E-2</v>
      </c>
    </row>
    <row r="25" spans="2:75" x14ac:dyDescent="0.25">
      <c r="AQ25" t="s">
        <v>56</v>
      </c>
      <c r="AR25" s="3">
        <f>NPV(AR24,AF17:CN17)+AE17</f>
        <v>37028.39564848999</v>
      </c>
    </row>
    <row r="26" spans="2:75" x14ac:dyDescent="0.25">
      <c r="AQ26" t="s">
        <v>1</v>
      </c>
      <c r="AR26" s="1">
        <f>AR25/Main!L3</f>
        <v>170.83265023143838</v>
      </c>
    </row>
  </sheetData>
  <hyperlinks>
    <hyperlink ref="A1" location="Main!A1" display="Main" xr:uid="{70F1DDBB-BA80-4A95-B36F-57B45E27211B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B0F2-5F77-4B16-A6E4-8AAE2F7BDE38}">
  <dimension ref="A1:C6"/>
  <sheetViews>
    <sheetView zoomScale="175" zoomScaleNormal="175" workbookViewId="0">
      <selection activeCell="B7" sqref="B7"/>
    </sheetView>
  </sheetViews>
  <sheetFormatPr defaultRowHeight="12.5" x14ac:dyDescent="0.25"/>
  <cols>
    <col min="1" max="1" width="4.6328125" bestFit="1" customWidth="1"/>
    <col min="2" max="2" width="9.81640625" bestFit="1" customWidth="1"/>
  </cols>
  <sheetData>
    <row r="1" spans="1:3" x14ac:dyDescent="0.25">
      <c r="A1" s="12" t="s">
        <v>7</v>
      </c>
    </row>
    <row r="2" spans="1:3" x14ac:dyDescent="0.25">
      <c r="B2" t="s">
        <v>49</v>
      </c>
      <c r="C2" t="s">
        <v>45</v>
      </c>
    </row>
    <row r="3" spans="1:3" x14ac:dyDescent="0.25">
      <c r="B3" t="s">
        <v>50</v>
      </c>
      <c r="C3" t="s">
        <v>22</v>
      </c>
    </row>
    <row r="4" spans="1:3" x14ac:dyDescent="0.25">
      <c r="B4" t="s">
        <v>46</v>
      </c>
      <c r="C4" t="s">
        <v>51</v>
      </c>
    </row>
    <row r="5" spans="1:3" x14ac:dyDescent="0.25">
      <c r="B5" t="s">
        <v>52</v>
      </c>
      <c r="C5" t="s">
        <v>24</v>
      </c>
    </row>
    <row r="6" spans="1:3" x14ac:dyDescent="0.25">
      <c r="B6" t="s">
        <v>0</v>
      </c>
      <c r="C6" t="s">
        <v>53</v>
      </c>
    </row>
  </sheetData>
  <hyperlinks>
    <hyperlink ref="A1" location="Main!A1" display="Main" xr:uid="{FF951577-6E86-4AB6-BB33-512CC691DC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Brinsupri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2024-10-18T12:51:27Z</dcterms:created>
  <dcterms:modified xsi:type="dcterms:W3CDTF">2026-07-14T13:26:43Z</dcterms:modified>
</cp:coreProperties>
</file>