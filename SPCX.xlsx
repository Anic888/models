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532E65A-EDA6-431D-8EE7-2C231CC11867}" xr6:coauthVersionLast="47" xr6:coauthVersionMax="47" xr10:uidLastSave="{00000000-0000-0000-0000-000000000000}"/>
  <bookViews>
    <workbookView xWindow="4560" yWindow="4560" windowWidth="19890" windowHeight="10280" xr2:uid="{E0745A46-4A89-4445-BC8E-1AA7C89A599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  <c r="G8" i="2"/>
  <c r="G7" i="2"/>
  <c r="G6" i="2"/>
  <c r="G5" i="2"/>
  <c r="G4" i="2"/>
  <c r="G3" i="2"/>
  <c r="H9" i="2"/>
  <c r="F9" i="2"/>
  <c r="E9" i="2"/>
  <c r="D9" i="2"/>
  <c r="D16" i="2"/>
  <c r="C17" i="2"/>
  <c r="C19" i="2" s="1"/>
  <c r="C20" i="2" s="1"/>
  <c r="H16" i="2"/>
  <c r="G14" i="2"/>
  <c r="G15" i="2" s="1"/>
  <c r="G17" i="2" s="1"/>
  <c r="G19" i="2" s="1"/>
  <c r="G20" i="2" s="1"/>
  <c r="F14" i="2"/>
  <c r="F15" i="2" s="1"/>
  <c r="F17" i="2" s="1"/>
  <c r="F19" i="2" s="1"/>
  <c r="F20" i="2" s="1"/>
  <c r="E14" i="2"/>
  <c r="E15" i="2" s="1"/>
  <c r="E17" i="2" s="1"/>
  <c r="E19" i="2" s="1"/>
  <c r="E20" i="2" s="1"/>
  <c r="D14" i="2"/>
  <c r="H14" i="2"/>
  <c r="H11" i="2"/>
  <c r="H15" i="2" s="1"/>
  <c r="H17" i="2" s="1"/>
  <c r="H19" i="2" s="1"/>
  <c r="H20" i="2" s="1"/>
  <c r="D11" i="2"/>
  <c r="L7" i="1"/>
  <c r="L5" i="1"/>
  <c r="L3" i="1"/>
  <c r="L4" i="1"/>
  <c r="G9" i="2" l="1"/>
  <c r="D15" i="2"/>
  <c r="D17" i="2" s="1"/>
  <c r="D19" i="2" s="1"/>
  <c r="D20" i="2" s="1"/>
</calcChain>
</file>

<file path=xl/sharedStrings.xml><?xml version="1.0" encoding="utf-8"?>
<sst xmlns="http://schemas.openxmlformats.org/spreadsheetml/2006/main" count="37" uniqueCount="33">
  <si>
    <t>Price</t>
  </si>
  <si>
    <t>Shares</t>
  </si>
  <si>
    <t>MC</t>
  </si>
  <si>
    <t>Cash</t>
  </si>
  <si>
    <t>Debt</t>
  </si>
  <si>
    <t>EV</t>
  </si>
  <si>
    <t>Q226</t>
  </si>
  <si>
    <t>Main</t>
  </si>
  <si>
    <t>Revenue</t>
  </si>
  <si>
    <t>Q125</t>
  </si>
  <si>
    <t>Q225</t>
  </si>
  <si>
    <t>Q325</t>
  </si>
  <si>
    <t>Q425</t>
  </si>
  <si>
    <t>Q126</t>
  </si>
  <si>
    <t>Q326</t>
  </si>
  <si>
    <t>Q426</t>
  </si>
  <si>
    <t>COGS</t>
  </si>
  <si>
    <t>Gross Profit</t>
  </si>
  <si>
    <t>SG&amp;A</t>
  </si>
  <si>
    <t>R&amp;D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</si>
  <si>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</si>
  <si>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</si>
  <si>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</si>
  <si>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</si>
  <si>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</si>
  <si>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</si>
  <si>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</si>
  <si>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Launch Services</t>
  </si>
  <si>
    <t>Launch &amp; Development</t>
  </si>
  <si>
    <t>Starlink Consumer</t>
  </si>
  <si>
    <t>Starlink Enterprise/Government</t>
  </si>
  <si>
    <t>AI Advertising</t>
  </si>
  <si>
    <t>AI Solutions &amp;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</si>
</sst>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06B3-E4E5-4555-92AE-83ED6A85F33A}">
  <dimension ref="K2:M7"/>
  <sheetViews>
    <sheetView tabSelected="1" zoomScale="145" zoomScaleNormal="145" workbookViewId="0">
      <selection activeCell="B2" sqref="B2"/>
    </sheetView>
  </sheetViews>
  <sheetFormatPr defaultRowHeight="12.5" x14ac:dyDescent="0.25"/>
  <cols>
    <col min="1" max="11" width="8.7265625" style="1"/>
    <col min="12" max="12" width="8.90625" style="1" bestFit="1" customWidth="1"/>
    <col min="13" max="16384" width="8.7265625" style="1"/>
  </cols>
  <sheetData>
    <row r="2" spans="11:13" x14ac:dyDescent="0.25">
      <c r="K2" s="1" t="s">
        <v>0</v>
      </c>
      <c r="L2" s="2">
        <v>139.27000000000001</v>
      </c>
    </row>
    <row r="3" spans="11:13" x14ac:dyDescent="0.25">
      <c r="K3" s="1" t="s">
        <v>1</v>
      </c>
      <c r="L3" s="3">
        <f>7696.293669+5485.486276</f>
        <v>13181.779944999998</v>
      </c>
      <c r="M3" s="4" t="s">
        <v>6</v>
      </c>
    </row>
    <row r="4" spans="11:13" x14ac:dyDescent="0.25">
      <c r="K4" s="1" t="s">
        <v>2</v>
      </c>
      <c r="L4" s="3">
        <f>+L2*L3</f>
        <v>1835826.49294015</v>
      </c>
    </row>
    <row r="5" spans="11:13" x14ac:dyDescent="0.25">
      <c r="K5" s="1" t="s">
        <v>3</v>
      </c>
      <c r="L5" s="3">
        <f>93522+6487+1098</f>
        <v>101107</v>
      </c>
      <c r="M5" s="4" t="s">
        <v>6</v>
      </c>
    </row>
    <row r="6" spans="11:13" x14ac:dyDescent="0.25">
      <c r="K6" s="1" t="s">
        <v>4</v>
      </c>
      <c r="L6" s="3">
        <v>36839</v>
      </c>
      <c r="M6" s="4" t="s">
        <v>6</v>
      </c>
    </row>
    <row r="7" spans="11:13" x14ac:dyDescent="0.25">
      <c r="K7" s="1" t="s">
        <v>5</v>
      </c>
      <c r="L7" s="3">
        <f>+L4-L5+L6</f>
        <v>1771558.49294015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8AFF-EDA3-48B1-BB61-F8EF9E514F1A}">
  <dimension ref="A1:J2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8" sqref="F8"/>
    </sheetView>
  </sheetViews>
  <sheetFormatPr defaultRowHeight="12.5" x14ac:dyDescent="0.25"/>
  <cols>
    <col min="1" max="1" width="4.6328125" style="1" bestFit="1" customWidth="1"/>
    <col min="2" max="2" width="26.08984375" style="1" bestFit="1" customWidth="1"/>
    <col min="3" max="10" width="8.7265625" style="4"/>
    <col min="11" max="16384" width="8.7265625" style="1"/>
  </cols>
  <sheetData>
    <row r="1" spans="1:10" x14ac:dyDescent="0.25">
      <c r="A1" s="1" t="s">
        <v>7</v>
      </c>
    </row>
    <row r="2" spans="1:10" x14ac:dyDescent="0.25"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6</v>
      </c>
      <c r="I2" s="4" t="s">
        <v>14</v>
      </c>
      <c r="J2" s="4" t="s">
        <v>15</v>
      </c>
    </row>
    <row r="3" spans="1:10" s="3" customFormat="1" x14ac:dyDescent="0.25">
      <c r="B3" s="3" t="s">
        <v>27</v>
      </c>
      <c r="C3" s="8">
        <f>1056-D3</f>
        <v>566</v>
      </c>
      <c r="D3" s="8">
        <v>490</v>
      </c>
      <c r="E3" s="8">
        <v>900</v>
      </c>
      <c r="F3" s="8">
        <v>950</v>
      </c>
      <c r="G3" s="8">
        <f>978-H3</f>
        <v>330</v>
      </c>
      <c r="H3" s="8">
        <v>648</v>
      </c>
      <c r="I3" s="8"/>
      <c r="J3" s="8"/>
    </row>
    <row r="4" spans="1:10" s="3" customFormat="1" x14ac:dyDescent="0.25">
      <c r="B4" s="3" t="s">
        <v>28</v>
      </c>
      <c r="C4" s="8">
        <f>555-D4</f>
        <v>299</v>
      </c>
      <c r="D4" s="8">
        <v>256</v>
      </c>
      <c r="E4" s="8">
        <v>300</v>
      </c>
      <c r="F4" s="8">
        <v>325</v>
      </c>
      <c r="G4" s="8">
        <f>603-H4</f>
        <v>289</v>
      </c>
      <c r="H4" s="8">
        <v>314</v>
      </c>
      <c r="I4" s="8"/>
      <c r="J4" s="8"/>
    </row>
    <row r="5" spans="1:10" s="3" customFormat="1" x14ac:dyDescent="0.25">
      <c r="B5" s="3" t="s">
        <v>29</v>
      </c>
      <c r="C5" s="8">
        <f>3213-D5</f>
        <v>1492</v>
      </c>
      <c r="D5" s="8">
        <v>1721</v>
      </c>
      <c r="E5" s="8">
        <v>2050</v>
      </c>
      <c r="F5" s="8">
        <v>2175</v>
      </c>
      <c r="G5" s="8">
        <f>4633-H5</f>
        <v>2148</v>
      </c>
      <c r="H5" s="8">
        <v>2485</v>
      </c>
      <c r="I5" s="8"/>
      <c r="J5" s="8"/>
    </row>
    <row r="6" spans="1:10" s="3" customFormat="1" x14ac:dyDescent="0.25">
      <c r="B6" s="3" t="s">
        <v>30</v>
      </c>
      <c r="C6" s="8">
        <f>1849-D6</f>
        <v>982</v>
      </c>
      <c r="D6" s="8">
        <v>867</v>
      </c>
      <c r="E6" s="8">
        <v>1000</v>
      </c>
      <c r="F6" s="8">
        <v>1100</v>
      </c>
      <c r="G6" s="8">
        <f>2915-H6</f>
        <v>1109</v>
      </c>
      <c r="H6" s="8">
        <v>1806</v>
      </c>
      <c r="I6" s="8"/>
      <c r="J6" s="8"/>
    </row>
    <row r="7" spans="1:10" s="3" customFormat="1" x14ac:dyDescent="0.25">
      <c r="B7" s="3" t="s">
        <v>31</v>
      </c>
      <c r="C7" s="8">
        <f>870-D7</f>
        <v>444</v>
      </c>
      <c r="D7" s="8">
        <v>426</v>
      </c>
      <c r="E7" s="8">
        <v>450</v>
      </c>
      <c r="F7" s="8">
        <v>425</v>
      </c>
      <c r="G7" s="8">
        <f>710-H7</f>
        <v>343</v>
      </c>
      <c r="H7" s="8">
        <v>367</v>
      </c>
      <c r="I7" s="8"/>
      <c r="J7" s="8"/>
    </row>
    <row r="8" spans="1:10" s="3" customFormat="1" x14ac:dyDescent="0.25">
      <c r="B8" s="3" t="s">
        <v>32</v>
      </c>
      <c r="C8" s="8">
        <f>595-D8</f>
        <v>284</v>
      </c>
      <c r="D8" s="8">
        <v>311</v>
      </c>
      <c r="E8" s="8">
        <v>400</v>
      </c>
      <c r="F8" s="8">
        <v>461</v>
      </c>
      <c r="G8" s="8">
        <f>2669-H8</f>
        <v>475</v>
      </c>
      <c r="H8" s="8">
        <v>2194</v>
      </c>
      <c r="I8" s="8"/>
      <c r="J8" s="8"/>
    </row>
    <row r="9" spans="1:10" s="6" customFormat="1" ht="13" x14ac:dyDescent="0.3">
      <c r="B9" s="6" t="s">
        <v>8</v>
      </c>
      <c r="C9" s="7">
        <f t="shared" ref="C9:H9" si="0">SUM(C3:C8)</f>
        <v>4067</v>
      </c>
      <c r="D9" s="7">
        <f t="shared" si="0"/>
        <v>4071</v>
      </c>
      <c r="E9" s="7">
        <f t="shared" si="0"/>
        <v>5100</v>
      </c>
      <c r="F9" s="7">
        <f t="shared" si="0"/>
        <v>5436</v>
      </c>
      <c r="G9" s="7">
        <f t="shared" si="0"/>
        <v>4694</v>
      </c>
      <c r="H9" s="7">
        <f t="shared" si="0"/>
        <v>7814</v>
      </c>
      <c r="I9" s="7"/>
      <c r="J9" s="7"/>
    </row>
    <row r="10" spans="1:10" s="3" customFormat="1" x14ac:dyDescent="0.25">
      <c r="B10" s="3" t="s">
        <v>16</v>
      </c>
      <c r="C10" s="8"/>
      <c r="D10" s="8">
        <v>2282</v>
      </c>
      <c r="E10" s="8"/>
      <c r="F10" s="8"/>
      <c r="G10" s="8"/>
      <c r="H10" s="8">
        <v>3495</v>
      </c>
      <c r="I10" s="8"/>
      <c r="J10" s="8"/>
    </row>
    <row r="11" spans="1:10" s="3" customFormat="1" x14ac:dyDescent="0.25">
      <c r="B11" s="3" t="s">
        <v>17</v>
      </c>
      <c r="C11" s="8"/>
      <c r="D11" s="8">
        <f>+D9-D10</f>
        <v>1789</v>
      </c>
      <c r="E11" s="8"/>
      <c r="F11" s="8"/>
      <c r="G11" s="8"/>
      <c r="H11" s="8">
        <f>+H9-H10</f>
        <v>4319</v>
      </c>
      <c r="I11" s="8"/>
      <c r="J11" s="8"/>
    </row>
    <row r="12" spans="1:10" s="3" customFormat="1" x14ac:dyDescent="0.25">
      <c r="B12" s="3" t="s">
        <v>19</v>
      </c>
      <c r="C12" s="8"/>
      <c r="D12" s="8">
        <v>1958</v>
      </c>
      <c r="E12" s="8"/>
      <c r="F12" s="8"/>
      <c r="G12" s="8"/>
      <c r="H12" s="8">
        <v>3548</v>
      </c>
      <c r="I12" s="8"/>
      <c r="J12" s="8"/>
    </row>
    <row r="13" spans="1:10" s="3" customFormat="1" x14ac:dyDescent="0.25">
      <c r="B13" s="3" t="s">
        <v>18</v>
      </c>
      <c r="C13" s="8"/>
      <c r="D13" s="8">
        <v>606</v>
      </c>
      <c r="E13" s="8"/>
      <c r="F13" s="8"/>
      <c r="G13" s="8"/>
      <c r="H13" s="8">
        <v>912</v>
      </c>
      <c r="I13" s="8"/>
      <c r="J13" s="8"/>
    </row>
    <row r="14" spans="1:10" s="3" customFormat="1" x14ac:dyDescent="0.25">
      <c r="B14" s="3" t="s">
        <v>20</v>
      </c>
      <c r="C14" s="8"/>
      <c r="D14" s="8">
        <f t="shared" ref="D14:G14" si="1">+D12+D13</f>
        <v>2564</v>
      </c>
      <c r="E14" s="8">
        <f t="shared" si="1"/>
        <v>0</v>
      </c>
      <c r="F14" s="8">
        <f t="shared" si="1"/>
        <v>0</v>
      </c>
      <c r="G14" s="8">
        <f t="shared" si="1"/>
        <v>0</v>
      </c>
      <c r="H14" s="8">
        <f>+H12+H13</f>
        <v>4460</v>
      </c>
      <c r="I14" s="8"/>
      <c r="J14" s="8"/>
    </row>
    <row r="15" spans="1:10" s="3" customFormat="1" x14ac:dyDescent="0.25">
      <c r="B15" s="3" t="s">
        <v>21</v>
      </c>
      <c r="C15" s="8"/>
      <c r="D15" s="8">
        <f t="shared" ref="D15:G15" si="2">+D11-D14</f>
        <v>-775</v>
      </c>
      <c r="E15" s="8">
        <f t="shared" si="2"/>
        <v>0</v>
      </c>
      <c r="F15" s="8">
        <f t="shared" si="2"/>
        <v>0</v>
      </c>
      <c r="G15" s="8">
        <f t="shared" si="2"/>
        <v>0</v>
      </c>
      <c r="H15" s="8">
        <f>+H11-H14</f>
        <v>-141</v>
      </c>
      <c r="I15" s="8"/>
      <c r="J15" s="8"/>
    </row>
    <row r="16" spans="1:10" s="3" customFormat="1" x14ac:dyDescent="0.25">
      <c r="B16" s="3" t="s">
        <v>22</v>
      </c>
      <c r="C16" s="8"/>
      <c r="D16" s="8">
        <f>98-411</f>
        <v>-313</v>
      </c>
      <c r="E16" s="8"/>
      <c r="F16" s="8"/>
      <c r="G16" s="8"/>
      <c r="H16" s="8">
        <f>-629+340</f>
        <v>-289</v>
      </c>
      <c r="I16" s="8"/>
      <c r="J16" s="8"/>
    </row>
    <row r="17" spans="2:10" s="3" customFormat="1" x14ac:dyDescent="0.25">
      <c r="B17" s="3" t="s">
        <v>23</v>
      </c>
      <c r="C17" s="8">
        <f t="shared" ref="C17:G17" si="3">+C15+C16</f>
        <v>0</v>
      </c>
      <c r="D17" s="8">
        <f t="shared" si="3"/>
        <v>-1088</v>
      </c>
      <c r="E17" s="8">
        <f t="shared" si="3"/>
        <v>0</v>
      </c>
      <c r="F17" s="8">
        <f t="shared" si="3"/>
        <v>0</v>
      </c>
      <c r="G17" s="8">
        <f t="shared" si="3"/>
        <v>0</v>
      </c>
      <c r="H17" s="8">
        <f>+H15+H16</f>
        <v>-430</v>
      </c>
      <c r="I17" s="8"/>
      <c r="J17" s="8"/>
    </row>
    <row r="18" spans="2:10" s="3" customFormat="1" x14ac:dyDescent="0.25">
      <c r="B18" s="3" t="s">
        <v>24</v>
      </c>
      <c r="C18" s="8"/>
      <c r="D18" s="8">
        <v>0</v>
      </c>
      <c r="E18" s="8"/>
      <c r="F18" s="8"/>
      <c r="G18" s="8"/>
      <c r="H18" s="8">
        <v>0</v>
      </c>
      <c r="I18" s="8"/>
      <c r="J18" s="8"/>
    </row>
    <row r="19" spans="2:10" s="3" customFormat="1" x14ac:dyDescent="0.25">
      <c r="B19" s="3" t="s">
        <v>25</v>
      </c>
      <c r="C19" s="8">
        <f t="shared" ref="C19:G19" si="4">+C17-C18</f>
        <v>0</v>
      </c>
      <c r="D19" s="8">
        <f t="shared" si="4"/>
        <v>-1088</v>
      </c>
      <c r="E19" s="8">
        <f t="shared" si="4"/>
        <v>0</v>
      </c>
      <c r="F19" s="8">
        <f t="shared" si="4"/>
        <v>0</v>
      </c>
      <c r="G19" s="8">
        <f t="shared" si="4"/>
        <v>0</v>
      </c>
      <c r="H19" s="8">
        <f>+H17-H18</f>
        <v>-430</v>
      </c>
      <c r="I19" s="8"/>
      <c r="J19" s="8"/>
    </row>
    <row r="20" spans="2:10" x14ac:dyDescent="0.25">
      <c r="B20" s="1" t="s">
        <v>26</v>
      </c>
      <c r="C20" s="5" t="e">
        <f t="shared" ref="C20:G20" si="5">+C19/C21</f>
        <v>#DIV/0!</v>
      </c>
      <c r="D20" s="5">
        <f t="shared" si="5"/>
        <v>-0.3714578354387163</v>
      </c>
      <c r="E20" s="5" t="e">
        <f t="shared" si="5"/>
        <v>#DIV/0!</v>
      </c>
      <c r="F20" s="5" t="e">
        <f t="shared" si="5"/>
        <v>#DIV/0!</v>
      </c>
      <c r="G20" s="5" t="e">
        <f t="shared" si="5"/>
        <v>#DIV/0!</v>
      </c>
      <c r="H20" s="5">
        <f>+H19/H21</f>
        <v>-7.3328785811732605E-2</v>
      </c>
    </row>
    <row r="21" spans="2:10" s="3" customFormat="1" x14ac:dyDescent="0.25">
      <c r="B21" s="3" t="s">
        <v>1</v>
      </c>
      <c r="C21" s="8"/>
      <c r="D21" s="8">
        <v>2929</v>
      </c>
      <c r="E21" s="8"/>
      <c r="F21" s="8"/>
      <c r="G21" s="8"/>
      <c r="H21" s="8">
        <v>5864</v>
      </c>
      <c r="I21" s="8"/>
      <c r="J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2026-08-19T20:45:36Z</dcterms:created>
  <dcterms:modified xsi:type="dcterms:W3CDTF">2026-08-19T22:55:40Z</dcterms:modified>
</cp:coreProperties>
</file>