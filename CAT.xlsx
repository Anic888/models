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72D43EB-44AB-4B7D-92AB-899901AC84CC}" xr6:coauthVersionLast="47" xr6:coauthVersionMax="47" xr10:uidLastSave="{00000000-0000-0000-0000-000000000000}"/>
  <bookViews>
    <workbookView xWindow="11630" yWindow="4020" windowWidth="20170" windowHeight="14480" activeTab="1" xr2:uid="{AE47EA50-A1C9-422B-BA52-17EB40FFC9E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6" i="2"/>
  <c r="C7" i="2"/>
  <c r="H8" i="2"/>
  <c r="H6" i="2"/>
  <c r="D8" i="2"/>
  <c r="D6" i="2"/>
  <c r="D7" i="2" s="1"/>
  <c r="I8" i="2"/>
  <c r="I6" i="2"/>
  <c r="I7" i="2"/>
  <c r="I9" i="2" s="1"/>
  <c r="E8" i="2"/>
  <c r="E6" i="2"/>
  <c r="E7" i="2" s="1"/>
  <c r="F8" i="2"/>
  <c r="F6" i="2"/>
  <c r="F7" i="2" s="1"/>
  <c r="J8" i="2"/>
  <c r="J6" i="2"/>
  <c r="J7" i="2"/>
  <c r="G8" i="2"/>
  <c r="G6" i="2"/>
  <c r="G7" i="2" s="1"/>
  <c r="K8" i="2"/>
  <c r="K6" i="2"/>
  <c r="K7" i="2"/>
  <c r="L8" i="2"/>
  <c r="L6" i="2"/>
  <c r="L7" i="2"/>
  <c r="H7" i="2"/>
  <c r="H9" i="2" s="1"/>
  <c r="R17" i="2"/>
  <c r="R14" i="2"/>
  <c r="R15" i="2" s="1"/>
  <c r="Q17" i="2"/>
  <c r="Q14" i="2"/>
  <c r="Q15" i="2" s="1"/>
  <c r="P17" i="2"/>
  <c r="P14" i="2"/>
  <c r="P15" i="2" s="1"/>
  <c r="O17" i="2"/>
  <c r="O14" i="2"/>
  <c r="O30" i="2"/>
  <c r="O15" i="2"/>
  <c r="O9" i="2"/>
  <c r="O11" i="2" s="1"/>
  <c r="P30" i="2"/>
  <c r="P9" i="2"/>
  <c r="P11" i="2" s="1"/>
  <c r="Q30" i="2"/>
  <c r="Q9" i="2"/>
  <c r="Q11" i="2" s="1"/>
  <c r="R30" i="2"/>
  <c r="R9" i="2"/>
  <c r="R11" i="2" s="1"/>
  <c r="T17" i="2"/>
  <c r="T14" i="2"/>
  <c r="T15" i="2" s="1"/>
  <c r="U17" i="2"/>
  <c r="U14" i="2"/>
  <c r="U15" i="2" s="1"/>
  <c r="S17" i="2"/>
  <c r="S14" i="2"/>
  <c r="S15" i="2" s="1"/>
  <c r="S30" i="2"/>
  <c r="S9" i="2"/>
  <c r="S11" i="2" s="1"/>
  <c r="T30" i="2"/>
  <c r="T9" i="2"/>
  <c r="T11" i="2" s="1"/>
  <c r="U30" i="2"/>
  <c r="U9" i="2"/>
  <c r="U11" i="2" s="1"/>
  <c r="V17" i="2"/>
  <c r="V14" i="2"/>
  <c r="V15" i="2" s="1"/>
  <c r="V30" i="2"/>
  <c r="V9" i="2"/>
  <c r="V11" i="2" s="1"/>
  <c r="W17" i="2"/>
  <c r="W14" i="2"/>
  <c r="W15" i="2" s="1"/>
  <c r="W30" i="2"/>
  <c r="W9" i="2"/>
  <c r="W11" i="2" s="1"/>
  <c r="X17" i="2"/>
  <c r="X14" i="2"/>
  <c r="X15" i="2" s="1"/>
  <c r="X30" i="2"/>
  <c r="X9" i="2"/>
  <c r="X11" i="2" s="1"/>
  <c r="Y17" i="2"/>
  <c r="Y14" i="2"/>
  <c r="Y15" i="2" s="1"/>
  <c r="Y30" i="2"/>
  <c r="Y9" i="2"/>
  <c r="Y11" i="2" s="1"/>
  <c r="Z17" i="2"/>
  <c r="Z14" i="2"/>
  <c r="Z15" i="2" s="1"/>
  <c r="Z30" i="2"/>
  <c r="Z9" i="2"/>
  <c r="Z11" i="2" s="1"/>
  <c r="AA17" i="2"/>
  <c r="AA14" i="2"/>
  <c r="AA15" i="2" s="1"/>
  <c r="AA30" i="2"/>
  <c r="AA9" i="2"/>
  <c r="AA11" i="2" s="1"/>
  <c r="AB17" i="2"/>
  <c r="AB14" i="2"/>
  <c r="AB15" i="2" s="1"/>
  <c r="AB30" i="2"/>
  <c r="AB9" i="2"/>
  <c r="AB11" i="2" s="1"/>
  <c r="AC17" i="2"/>
  <c r="AC14" i="2"/>
  <c r="AC15" i="2" s="1"/>
  <c r="AC30" i="2"/>
  <c r="AC9" i="2"/>
  <c r="AC11" i="2" s="1"/>
  <c r="AD17" i="2"/>
  <c r="AD14" i="2"/>
  <c r="AD15" i="2" s="1"/>
  <c r="AD30" i="2"/>
  <c r="AD9" i="2"/>
  <c r="AD11" i="2" s="1"/>
  <c r="AG30" i="2"/>
  <c r="AF30" i="2"/>
  <c r="AE30" i="2"/>
  <c r="M6" i="1"/>
  <c r="M7" i="1"/>
  <c r="AG17" i="2"/>
  <c r="AF17" i="2"/>
  <c r="AE17" i="2"/>
  <c r="AG14" i="2"/>
  <c r="AG15" i="2" s="1"/>
  <c r="AF14" i="2"/>
  <c r="AF15" i="2" s="1"/>
  <c r="AE14" i="2"/>
  <c r="AE15" i="2" s="1"/>
  <c r="AG9" i="2"/>
  <c r="AG11" i="2" s="1"/>
  <c r="AG25" i="2" s="1"/>
  <c r="AF9" i="2"/>
  <c r="AF11" i="2" s="1"/>
  <c r="AF25" i="2" s="1"/>
  <c r="AE9" i="2"/>
  <c r="AE11" i="2" s="1"/>
  <c r="AE25" i="2" s="1"/>
  <c r="M4" i="1"/>
  <c r="C9" i="2" l="1"/>
  <c r="D9" i="2"/>
  <c r="E9" i="2"/>
  <c r="F9" i="2"/>
  <c r="J9" i="2"/>
  <c r="G9" i="2"/>
  <c r="K9" i="2"/>
  <c r="L9" i="2"/>
  <c r="O25" i="2"/>
  <c r="O16" i="2"/>
  <c r="O18" i="2" s="1"/>
  <c r="O20" i="2" s="1"/>
  <c r="O21" i="2" s="1"/>
  <c r="P25" i="2"/>
  <c r="P16" i="2"/>
  <c r="P18" i="2" s="1"/>
  <c r="P20" i="2" s="1"/>
  <c r="P21" i="2" s="1"/>
  <c r="Q25" i="2"/>
  <c r="Q16" i="2"/>
  <c r="Q18" i="2" s="1"/>
  <c r="Q20" i="2" s="1"/>
  <c r="Q21" i="2" s="1"/>
  <c r="R25" i="2"/>
  <c r="R16" i="2"/>
  <c r="R18" i="2" s="1"/>
  <c r="R20" i="2" s="1"/>
  <c r="R21" i="2" s="1"/>
  <c r="S16" i="2"/>
  <c r="S18" i="2" s="1"/>
  <c r="S20" i="2" s="1"/>
  <c r="S21" i="2" s="1"/>
  <c r="S25" i="2"/>
  <c r="T16" i="2"/>
  <c r="T18" i="2" s="1"/>
  <c r="T20" i="2" s="1"/>
  <c r="T21" i="2" s="1"/>
  <c r="T25" i="2"/>
  <c r="U25" i="2"/>
  <c r="U16" i="2"/>
  <c r="U18" i="2" s="1"/>
  <c r="U20" i="2" s="1"/>
  <c r="U21" i="2" s="1"/>
  <c r="V25" i="2"/>
  <c r="V16" i="2"/>
  <c r="V18" i="2" s="1"/>
  <c r="V20" i="2" s="1"/>
  <c r="V21" i="2" s="1"/>
  <c r="W25" i="2"/>
  <c r="W16" i="2"/>
  <c r="W18" i="2" s="1"/>
  <c r="W20" i="2" s="1"/>
  <c r="W21" i="2" s="1"/>
  <c r="X16" i="2"/>
  <c r="X18" i="2" s="1"/>
  <c r="X20" i="2" s="1"/>
  <c r="X21" i="2" s="1"/>
  <c r="X25" i="2"/>
  <c r="Y16" i="2"/>
  <c r="Y18" i="2" s="1"/>
  <c r="Y20" i="2" s="1"/>
  <c r="Y21" i="2" s="1"/>
  <c r="Y25" i="2"/>
  <c r="Z25" i="2"/>
  <c r="Z16" i="2"/>
  <c r="Z18" i="2" s="1"/>
  <c r="Z20" i="2" s="1"/>
  <c r="Z21" i="2" s="1"/>
  <c r="AA25" i="2"/>
  <c r="AA16" i="2"/>
  <c r="AA18" i="2" s="1"/>
  <c r="AA20" i="2" s="1"/>
  <c r="AA21" i="2" s="1"/>
  <c r="AB25" i="2"/>
  <c r="AB16" i="2"/>
  <c r="AB18" i="2" s="1"/>
  <c r="AB20" i="2" s="1"/>
  <c r="AB21" i="2" s="1"/>
  <c r="AC25" i="2"/>
  <c r="AC16" i="2"/>
  <c r="AC18" i="2" s="1"/>
  <c r="AC20" i="2" s="1"/>
  <c r="AC21" i="2" s="1"/>
  <c r="AE16" i="2"/>
  <c r="AE18" i="2" s="1"/>
  <c r="AE20" i="2" s="1"/>
  <c r="AE21" i="2" s="1"/>
  <c r="AF16" i="2"/>
  <c r="AF18" i="2" s="1"/>
  <c r="AF20" i="2" s="1"/>
  <c r="AF21" i="2" s="1"/>
  <c r="AD25" i="2"/>
  <c r="AD16" i="2"/>
  <c r="AD18" i="2" s="1"/>
  <c r="AD20" i="2" s="1"/>
  <c r="AD21" i="2" s="1"/>
  <c r="AG16" i="2"/>
  <c r="AG18" i="2" s="1"/>
  <c r="AG20" i="2" s="1"/>
  <c r="AG21" i="2" s="1"/>
</calcChain>
</file>

<file path=xl/sharedStrings.xml><?xml version="1.0" encoding="utf-8"?>
<sst xmlns="http://schemas.openxmlformats.org/spreadsheetml/2006/main" count="81" uniqueCount="75">
  <si>
    <t>Price</t>
  </si>
  <si>
    <t>Shares</t>
  </si>
  <si>
    <t>MC</t>
  </si>
  <si>
    <t>Cash</t>
  </si>
  <si>
    <t>Debt</t>
  </si>
  <si>
    <t>EV</t>
  </si>
  <si>
    <t>Founder</t>
  </si>
  <si>
    <t>Construction</t>
  </si>
  <si>
    <t>Asphalt pavers</t>
  </si>
  <si>
    <t>Backhoe Loaders</t>
  </si>
  <si>
    <t>Cold Planers</t>
  </si>
  <si>
    <t>Compactors</t>
  </si>
  <si>
    <t>Compact Track Loaders</t>
  </si>
  <si>
    <t>Forestry Machines</t>
  </si>
  <si>
    <t>Material Handlers</t>
  </si>
  <si>
    <t>Motor Graders</t>
  </si>
  <si>
    <t>Pipelayers</t>
  </si>
  <si>
    <t>Road Reclaimers</t>
  </si>
  <si>
    <t>Skid Steer Loaders</t>
  </si>
  <si>
    <t>Telehandlers</t>
  </si>
  <si>
    <t>Track-type Loaders</t>
  </si>
  <si>
    <t>Track Excavators</t>
  </si>
  <si>
    <t>Wheel Excavators</t>
  </si>
  <si>
    <t>Wheel Roaders</t>
  </si>
  <si>
    <t>Resources</t>
  </si>
  <si>
    <t>Electric Rope Shovels</t>
  </si>
  <si>
    <t>Draglines</t>
  </si>
  <si>
    <t>Hydraulic Shovels</t>
  </si>
  <si>
    <t>Rotary Drills</t>
  </si>
  <si>
    <t>Hard Rock Vehicles</t>
  </si>
  <si>
    <t>Large Track-Type Tractors</t>
  </si>
  <si>
    <t>Large Mining Trucks</t>
  </si>
  <si>
    <t>Large Wheel Loaders</t>
  </si>
  <si>
    <t>Off-Highway Trucks</t>
  </si>
  <si>
    <t>Wide-body Trucks</t>
  </si>
  <si>
    <t>Articulated Trucks</t>
  </si>
  <si>
    <t>Wheel Tractor Scrapers</t>
  </si>
  <si>
    <t>Wheel Dozers</t>
  </si>
  <si>
    <t>Fleet Management</t>
  </si>
  <si>
    <t>Soil Compactors</t>
  </si>
  <si>
    <t>Landfill Compactors</t>
  </si>
  <si>
    <t>Machinery Components</t>
  </si>
  <si>
    <t>Main</t>
  </si>
  <si>
    <t>Machinery</t>
  </si>
  <si>
    <t>Financial</t>
  </si>
  <si>
    <t>Revenues</t>
  </si>
  <si>
    <t>COGS</t>
  </si>
  <si>
    <t>Gross Margin</t>
  </si>
  <si>
    <t>Gross Profit</t>
  </si>
  <si>
    <t>SG&amp;A</t>
  </si>
  <si>
    <t>R&amp;D</t>
  </si>
  <si>
    <t>Operating Expenses</t>
  </si>
  <si>
    <t>Interest Expense</t>
  </si>
  <si>
    <t>Operating Income</t>
  </si>
  <si>
    <t>Interest+Other</t>
  </si>
  <si>
    <t>Pretax Income</t>
  </si>
  <si>
    <t>Taxes</t>
  </si>
  <si>
    <t>Net Income</t>
  </si>
  <si>
    <t>EPS</t>
  </si>
  <si>
    <t>Q424</t>
  </si>
  <si>
    <t>CFFO</t>
  </si>
  <si>
    <t>CX</t>
  </si>
  <si>
    <t>FCF</t>
  </si>
  <si>
    <t>Q125</t>
  </si>
  <si>
    <t>Q225</t>
  </si>
  <si>
    <t>Q325</t>
  </si>
  <si>
    <t>Q425</t>
  </si>
  <si>
    <t>Q126</t>
  </si>
  <si>
    <t>Q226</t>
  </si>
  <si>
    <t>Power &amp; Energy</t>
  </si>
  <si>
    <t>Resource</t>
  </si>
  <si>
    <t>Other</t>
  </si>
  <si>
    <t>Q324</t>
  </si>
  <si>
    <t>Q224</t>
  </si>
  <si>
    <t>Q124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</si>
</sst>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3" fontId="2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D7E9-F398-48FC-9F4B-974E055F0861}">
  <dimension ref="B2:N38"/>
  <sheetViews>
    <sheetView zoomScale="115" zoomScaleNormal="115" workbookViewId="0">
      <selection activeCell="M8" sqref="M8"/>
    </sheetView>
  </sheetViews>
  <sheetFormatPr defaultRowHeight="12.5" x14ac:dyDescent="0.25"/>
  <cols>
    <col min="1" max="16384" width="8.7265625" style="1"/>
  </cols>
  <sheetData>
    <row r="2" spans="2:14" ht="13" x14ac:dyDescent="0.3">
      <c r="B2" s="4" t="s">
        <v>7</v>
      </c>
      <c r="L2" s="1" t="s">
        <v>0</v>
      </c>
      <c r="M2" s="2">
        <v>325</v>
      </c>
    </row>
    <row r="3" spans="2:14" x14ac:dyDescent="0.25">
      <c r="B3" s="1" t="s">
        <v>8</v>
      </c>
      <c r="L3" s="1" t="s">
        <v>1</v>
      </c>
      <c r="M3" s="3">
        <v>477.93202400000001</v>
      </c>
      <c r="N3" s="7" t="s">
        <v>59</v>
      </c>
    </row>
    <row r="4" spans="2:14" x14ac:dyDescent="0.25">
      <c r="B4" s="1" t="s">
        <v>9</v>
      </c>
      <c r="L4" s="1" t="s">
        <v>2</v>
      </c>
      <c r="M4" s="3">
        <f>+M2*M3</f>
        <v>155327.90780000002</v>
      </c>
    </row>
    <row r="5" spans="2:14" x14ac:dyDescent="0.25">
      <c r="B5" s="1" t="s">
        <v>10</v>
      </c>
      <c r="L5" s="1" t="s">
        <v>3</v>
      </c>
      <c r="M5" s="3">
        <v>6889</v>
      </c>
      <c r="N5" s="7" t="s">
        <v>59</v>
      </c>
    </row>
    <row r="6" spans="2:14" x14ac:dyDescent="0.25">
      <c r="B6" s="1" t="s">
        <v>11</v>
      </c>
      <c r="L6" s="1" t="s">
        <v>4</v>
      </c>
      <c r="M6" s="3">
        <f>8564+46</f>
        <v>8610</v>
      </c>
      <c r="N6" s="7" t="s">
        <v>59</v>
      </c>
    </row>
    <row r="7" spans="2:14" x14ac:dyDescent="0.25">
      <c r="B7" s="1" t="s">
        <v>12</v>
      </c>
      <c r="L7" s="1" t="s">
        <v>5</v>
      </c>
      <c r="M7" s="3">
        <f>+M4-M5+M6</f>
        <v>157048.90780000002</v>
      </c>
    </row>
    <row r="8" spans="2:14" x14ac:dyDescent="0.25">
      <c r="B8" s="1" t="s">
        <v>13</v>
      </c>
    </row>
    <row r="9" spans="2:14" x14ac:dyDescent="0.25">
      <c r="B9" s="1" t="s">
        <v>14</v>
      </c>
    </row>
    <row r="10" spans="2:14" x14ac:dyDescent="0.25">
      <c r="B10" s="1" t="s">
        <v>15</v>
      </c>
      <c r="L10" s="1" t="s">
        <v>6</v>
      </c>
      <c r="M10" s="1">
        <v>1925</v>
      </c>
    </row>
    <row r="11" spans="2:14" x14ac:dyDescent="0.25">
      <c r="B11" s="1" t="s">
        <v>16</v>
      </c>
    </row>
    <row r="12" spans="2:14" x14ac:dyDescent="0.25">
      <c r="B12" s="1" t="s">
        <v>17</v>
      </c>
    </row>
    <row r="13" spans="2:14" x14ac:dyDescent="0.25">
      <c r="B13" s="1" t="s">
        <v>18</v>
      </c>
    </row>
    <row r="14" spans="2:14" x14ac:dyDescent="0.25">
      <c r="B14" s="1" t="s">
        <v>19</v>
      </c>
    </row>
    <row r="15" spans="2:14" x14ac:dyDescent="0.25">
      <c r="B15" s="1" t="s">
        <v>20</v>
      </c>
    </row>
    <row r="16" spans="2:14" x14ac:dyDescent="0.25">
      <c r="B16" s="1" t="s">
        <v>21</v>
      </c>
    </row>
    <row r="17" spans="2:2" x14ac:dyDescent="0.25">
      <c r="B17" s="1" t="s">
        <v>22</v>
      </c>
    </row>
    <row r="18" spans="2:2" x14ac:dyDescent="0.25">
      <c r="B18" s="1" t="s">
        <v>23</v>
      </c>
    </row>
    <row r="20" spans="2:2" ht="13" x14ac:dyDescent="0.3">
      <c r="B20" s="4" t="s">
        <v>24</v>
      </c>
    </row>
    <row r="21" spans="2:2" x14ac:dyDescent="0.25">
      <c r="B21" s="1" t="s">
        <v>25</v>
      </c>
    </row>
    <row r="22" spans="2:2" x14ac:dyDescent="0.25">
      <c r="B22" s="1" t="s">
        <v>26</v>
      </c>
    </row>
    <row r="23" spans="2:2" x14ac:dyDescent="0.25">
      <c r="B23" s="1" t="s">
        <v>27</v>
      </c>
    </row>
    <row r="24" spans="2:2" x14ac:dyDescent="0.25">
      <c r="B24" s="1" t="s">
        <v>28</v>
      </c>
    </row>
    <row r="25" spans="2:2" x14ac:dyDescent="0.25">
      <c r="B25" s="1" t="s">
        <v>29</v>
      </c>
    </row>
    <row r="26" spans="2:2" x14ac:dyDescent="0.25">
      <c r="B26" s="1" t="s">
        <v>30</v>
      </c>
    </row>
    <row r="27" spans="2:2" x14ac:dyDescent="0.25">
      <c r="B27" s="1" t="s">
        <v>31</v>
      </c>
    </row>
    <row r="28" spans="2:2" x14ac:dyDescent="0.25">
      <c r="B28" s="1" t="s">
        <v>32</v>
      </c>
    </row>
    <row r="29" spans="2:2" x14ac:dyDescent="0.25">
      <c r="B29" s="1" t="s">
        <v>33</v>
      </c>
    </row>
    <row r="30" spans="2:2" x14ac:dyDescent="0.25">
      <c r="B30" s="1" t="s">
        <v>34</v>
      </c>
    </row>
    <row r="31" spans="2:2" x14ac:dyDescent="0.25">
      <c r="B31" s="1" t="s">
        <v>35</v>
      </c>
    </row>
    <row r="32" spans="2:2" x14ac:dyDescent="0.25">
      <c r="B32" s="1" t="s">
        <v>36</v>
      </c>
    </row>
    <row r="33" spans="2:2" x14ac:dyDescent="0.25">
      <c r="B33" s="1" t="s">
        <v>37</v>
      </c>
    </row>
    <row r="34" spans="2:2" x14ac:dyDescent="0.25">
      <c r="B34" s="1" t="s">
        <v>38</v>
      </c>
    </row>
    <row r="35" spans="2:2" x14ac:dyDescent="0.25">
      <c r="B35" s="1" t="s">
        <v>40</v>
      </c>
    </row>
    <row r="36" spans="2:2" x14ac:dyDescent="0.25">
      <c r="B36" s="1" t="s">
        <v>39</v>
      </c>
    </row>
    <row r="37" spans="2:2" x14ac:dyDescent="0.25">
      <c r="B37" s="1" t="s">
        <v>41</v>
      </c>
    </row>
    <row r="38" spans="2:2" x14ac:dyDescent="0.25">
      <c r="B38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382A-E853-4D20-B258-2123FE60C7FD}">
  <dimension ref="A1:AG30"/>
  <sheetViews>
    <sheetView tabSelected="1"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RowHeight="12.5" x14ac:dyDescent="0.25"/>
  <cols>
    <col min="1" max="1" width="4.6328125" style="1" bestFit="1" customWidth="1"/>
    <col min="2" max="2" width="17.36328125" style="1" customWidth="1"/>
    <col min="3" max="12" width="7.08984375" style="7" customWidth="1"/>
    <col min="13" max="14" width="17.36328125" style="1" customWidth="1"/>
    <col min="15" max="16384" width="8.7265625" style="1"/>
  </cols>
  <sheetData>
    <row r="1" spans="1:33" x14ac:dyDescent="0.25">
      <c r="A1" s="8" t="s">
        <v>42</v>
      </c>
    </row>
    <row r="2" spans="1:33" x14ac:dyDescent="0.25">
      <c r="C2" s="7" t="s">
        <v>74</v>
      </c>
      <c r="D2" s="7" t="s">
        <v>73</v>
      </c>
      <c r="E2" s="7" t="s">
        <v>72</v>
      </c>
      <c r="F2" s="7" t="s">
        <v>59</v>
      </c>
      <c r="G2" s="7" t="s">
        <v>63</v>
      </c>
      <c r="H2" s="7" t="s">
        <v>64</v>
      </c>
      <c r="I2" s="7" t="s">
        <v>65</v>
      </c>
      <c r="J2" s="7" t="s">
        <v>66</v>
      </c>
      <c r="K2" s="7" t="s">
        <v>67</v>
      </c>
      <c r="L2" s="7" t="s">
        <v>68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  <c r="AE2" s="1">
        <v>2022</v>
      </c>
      <c r="AF2" s="1">
        <v>2023</v>
      </c>
      <c r="AG2" s="1">
        <v>2024</v>
      </c>
    </row>
    <row r="3" spans="1:33" s="3" customFormat="1" x14ac:dyDescent="0.25">
      <c r="B3" s="3" t="s">
        <v>69</v>
      </c>
      <c r="C3" s="9">
        <v>6424</v>
      </c>
      <c r="D3" s="9">
        <v>6683</v>
      </c>
      <c r="E3" s="9">
        <v>6345</v>
      </c>
      <c r="F3" s="9">
        <v>6003</v>
      </c>
      <c r="G3" s="9">
        <v>5783</v>
      </c>
      <c r="H3" s="9">
        <v>6190</v>
      </c>
      <c r="I3" s="9">
        <v>6760</v>
      </c>
      <c r="J3" s="9">
        <v>6926</v>
      </c>
      <c r="K3" s="9">
        <v>7031</v>
      </c>
      <c r="L3" s="9">
        <v>8238</v>
      </c>
    </row>
    <row r="4" spans="1:33" s="3" customFormat="1" x14ac:dyDescent="0.25">
      <c r="B4" s="3" t="s">
        <v>7</v>
      </c>
      <c r="C4" s="9">
        <v>3193</v>
      </c>
      <c r="D4" s="9">
        <v>3206</v>
      </c>
      <c r="E4" s="9">
        <v>3048</v>
      </c>
      <c r="F4" s="9">
        <v>2980</v>
      </c>
      <c r="G4" s="9">
        <v>5184</v>
      </c>
      <c r="H4" s="9">
        <v>3087</v>
      </c>
      <c r="I4" s="9">
        <v>3110</v>
      </c>
      <c r="J4" s="9">
        <v>3353</v>
      </c>
      <c r="K4" s="9">
        <v>7161</v>
      </c>
      <c r="L4" s="9">
        <v>8346</v>
      </c>
    </row>
    <row r="5" spans="1:33" s="3" customFormat="1" x14ac:dyDescent="0.25">
      <c r="B5" s="3" t="s">
        <v>70</v>
      </c>
      <c r="C5" s="9">
        <v>6681</v>
      </c>
      <c r="D5" s="9">
        <v>7337</v>
      </c>
      <c r="E5" s="9">
        <v>7187</v>
      </c>
      <c r="F5" s="9">
        <v>7649</v>
      </c>
      <c r="G5" s="9">
        <v>3661</v>
      </c>
      <c r="H5" s="9">
        <v>7836</v>
      </c>
      <c r="I5" s="9">
        <v>8397</v>
      </c>
      <c r="J5" s="9">
        <v>9400</v>
      </c>
      <c r="K5" s="9">
        <v>3797</v>
      </c>
      <c r="L5" s="9">
        <v>4648</v>
      </c>
    </row>
    <row r="6" spans="1:33" s="3" customFormat="1" x14ac:dyDescent="0.25">
      <c r="B6" s="3" t="s">
        <v>71</v>
      </c>
      <c r="C6" s="9">
        <f>109-1447</f>
        <v>-1338</v>
      </c>
      <c r="D6" s="9">
        <f>108-1494</f>
        <v>-1386</v>
      </c>
      <c r="E6" s="9">
        <f>72-1421</f>
        <v>-1349</v>
      </c>
      <c r="F6" s="9">
        <f>98-1398</f>
        <v>-1300</v>
      </c>
      <c r="G6" s="9">
        <f>70-1320</f>
        <v>-1250</v>
      </c>
      <c r="H6" s="9">
        <f>104-1543</f>
        <v>-1439</v>
      </c>
      <c r="I6" s="9">
        <f>73-1614</f>
        <v>-1541</v>
      </c>
      <c r="J6" s="9">
        <f>99-1576</f>
        <v>-1477</v>
      </c>
      <c r="K6" s="9">
        <f>77-1593</f>
        <v>-1516</v>
      </c>
      <c r="L6" s="9">
        <f>84-1735</f>
        <v>-1651</v>
      </c>
    </row>
    <row r="7" spans="1:33" s="3" customFormat="1" x14ac:dyDescent="0.25">
      <c r="B7" s="3" t="s">
        <v>43</v>
      </c>
      <c r="C7" s="9">
        <f t="shared" ref="C7:D7" si="0">SUM(C3:C6)</f>
        <v>14960</v>
      </c>
      <c r="D7" s="9">
        <f t="shared" si="0"/>
        <v>15840</v>
      </c>
      <c r="E7" s="9">
        <f t="shared" ref="E7:G7" si="1">SUM(E3:E6)</f>
        <v>15231</v>
      </c>
      <c r="F7" s="9">
        <f t="shared" si="1"/>
        <v>15332</v>
      </c>
      <c r="G7" s="9">
        <f t="shared" si="1"/>
        <v>13378</v>
      </c>
      <c r="H7" s="9">
        <f>SUM(H3:H6)</f>
        <v>15674</v>
      </c>
      <c r="I7" s="9">
        <f t="shared" ref="I7" si="2">SUM(I3:I6)</f>
        <v>16726</v>
      </c>
      <c r="J7" s="9">
        <f t="shared" ref="J7" si="3">SUM(J3:J6)</f>
        <v>18202</v>
      </c>
      <c r="K7" s="9">
        <f>SUM(K3:K6)</f>
        <v>16473</v>
      </c>
      <c r="L7" s="9">
        <f>SUM(L3:L6)</f>
        <v>19581</v>
      </c>
      <c r="O7" s="3">
        <v>38869</v>
      </c>
      <c r="P7" s="3">
        <v>41962</v>
      </c>
      <c r="Q7" s="3">
        <v>48044</v>
      </c>
      <c r="R7" s="3">
        <v>29540</v>
      </c>
      <c r="S7" s="3">
        <v>39867</v>
      </c>
      <c r="T7" s="3">
        <v>57392</v>
      </c>
      <c r="U7" s="3">
        <v>63068</v>
      </c>
      <c r="V7" s="3">
        <v>52694</v>
      </c>
      <c r="W7" s="3">
        <v>52142</v>
      </c>
      <c r="X7" s="3">
        <v>44147</v>
      </c>
      <c r="Y7" s="3">
        <v>35773</v>
      </c>
      <c r="Z7" s="3">
        <v>42676</v>
      </c>
      <c r="AA7" s="3">
        <v>51822</v>
      </c>
      <c r="AB7" s="3">
        <v>50755</v>
      </c>
      <c r="AC7" s="3">
        <v>39022</v>
      </c>
      <c r="AD7" s="3">
        <v>48188</v>
      </c>
      <c r="AE7" s="3">
        <v>56574</v>
      </c>
      <c r="AF7" s="3">
        <v>63869</v>
      </c>
      <c r="AG7" s="3">
        <v>61363</v>
      </c>
    </row>
    <row r="8" spans="1:33" s="3" customFormat="1" x14ac:dyDescent="0.25">
      <c r="B8" s="3" t="s">
        <v>44</v>
      </c>
      <c r="C8" s="9">
        <f>991-152</f>
        <v>839</v>
      </c>
      <c r="D8" s="9">
        <f>1004-155</f>
        <v>849</v>
      </c>
      <c r="E8" s="9">
        <f>1034-159</f>
        <v>875</v>
      </c>
      <c r="F8" s="9">
        <f>1024-141</f>
        <v>883</v>
      </c>
      <c r="G8" s="9">
        <f>1007-136</f>
        <v>871</v>
      </c>
      <c r="H8" s="9">
        <f>1042-147</f>
        <v>895</v>
      </c>
      <c r="I8" s="9">
        <f>1076-164</f>
        <v>912</v>
      </c>
      <c r="J8" s="9">
        <f>1095-164</f>
        <v>931</v>
      </c>
      <c r="K8" s="9">
        <f>1096-154</f>
        <v>942</v>
      </c>
      <c r="L8" s="9">
        <f>1145-183</f>
        <v>962</v>
      </c>
      <c r="O8" s="3">
        <v>2648</v>
      </c>
      <c r="P8" s="3">
        <v>2996</v>
      </c>
      <c r="Q8" s="3">
        <v>3280</v>
      </c>
      <c r="R8" s="3">
        <v>2856</v>
      </c>
      <c r="S8" s="3">
        <v>2721</v>
      </c>
      <c r="T8" s="3">
        <v>2746</v>
      </c>
      <c r="U8" s="3">
        <v>2807</v>
      </c>
      <c r="V8" s="3">
        <v>2962</v>
      </c>
      <c r="W8" s="3">
        <v>3042</v>
      </c>
      <c r="X8" s="3">
        <v>2864</v>
      </c>
      <c r="Y8" s="3">
        <v>2764</v>
      </c>
      <c r="Z8" s="3">
        <v>2786</v>
      </c>
      <c r="AA8" s="3">
        <v>2900</v>
      </c>
      <c r="AB8" s="3">
        <v>3045</v>
      </c>
      <c r="AC8" s="3">
        <v>2726</v>
      </c>
      <c r="AD8" s="3">
        <v>2783</v>
      </c>
      <c r="AE8" s="3">
        <v>2853</v>
      </c>
      <c r="AF8" s="3">
        <v>3191</v>
      </c>
      <c r="AG8" s="3">
        <v>3446</v>
      </c>
    </row>
    <row r="9" spans="1:33" s="5" customFormat="1" ht="13" x14ac:dyDescent="0.3">
      <c r="B9" s="5" t="s">
        <v>45</v>
      </c>
      <c r="C9" s="10">
        <f t="shared" ref="C9:D9" si="4">+C8+C7</f>
        <v>15799</v>
      </c>
      <c r="D9" s="10">
        <f t="shared" si="4"/>
        <v>16689</v>
      </c>
      <c r="E9" s="10">
        <f t="shared" ref="E9:G9" si="5">+E8+E7</f>
        <v>16106</v>
      </c>
      <c r="F9" s="10">
        <f t="shared" si="5"/>
        <v>16215</v>
      </c>
      <c r="G9" s="10">
        <f t="shared" si="5"/>
        <v>14249</v>
      </c>
      <c r="H9" s="10">
        <f>+H8+H7</f>
        <v>16569</v>
      </c>
      <c r="I9" s="10">
        <f t="shared" ref="I9:J9" si="6">+I8+I7</f>
        <v>17638</v>
      </c>
      <c r="J9" s="10">
        <f t="shared" si="6"/>
        <v>19133</v>
      </c>
      <c r="K9" s="10">
        <f>+K8+K7</f>
        <v>17415</v>
      </c>
      <c r="L9" s="10">
        <f>+L8+L7</f>
        <v>20543</v>
      </c>
      <c r="O9" s="5">
        <f t="shared" ref="O9:AG9" si="7">+O7+O8</f>
        <v>41517</v>
      </c>
      <c r="P9" s="5">
        <f t="shared" si="7"/>
        <v>44958</v>
      </c>
      <c r="Q9" s="5">
        <f t="shared" si="7"/>
        <v>51324</v>
      </c>
      <c r="R9" s="5">
        <f t="shared" si="7"/>
        <v>32396</v>
      </c>
      <c r="S9" s="5">
        <f t="shared" si="7"/>
        <v>42588</v>
      </c>
      <c r="T9" s="5">
        <f t="shared" si="7"/>
        <v>60138</v>
      </c>
      <c r="U9" s="5">
        <f t="shared" si="7"/>
        <v>65875</v>
      </c>
      <c r="V9" s="5">
        <f t="shared" si="7"/>
        <v>55656</v>
      </c>
      <c r="W9" s="5">
        <f t="shared" si="7"/>
        <v>55184</v>
      </c>
      <c r="X9" s="5">
        <f t="shared" si="7"/>
        <v>47011</v>
      </c>
      <c r="Y9" s="5">
        <f t="shared" si="7"/>
        <v>38537</v>
      </c>
      <c r="Z9" s="5">
        <f t="shared" si="7"/>
        <v>45462</v>
      </c>
      <c r="AA9" s="5">
        <f t="shared" si="7"/>
        <v>54722</v>
      </c>
      <c r="AB9" s="5">
        <f t="shared" si="7"/>
        <v>53800</v>
      </c>
      <c r="AC9" s="5">
        <f t="shared" si="7"/>
        <v>41748</v>
      </c>
      <c r="AD9" s="5">
        <f t="shared" si="7"/>
        <v>50971</v>
      </c>
      <c r="AE9" s="5">
        <f t="shared" si="7"/>
        <v>59427</v>
      </c>
      <c r="AF9" s="5">
        <f t="shared" si="7"/>
        <v>67060</v>
      </c>
      <c r="AG9" s="5">
        <f t="shared" si="7"/>
        <v>64809</v>
      </c>
    </row>
    <row r="10" spans="1:33" s="3" customFormat="1" x14ac:dyDescent="0.25">
      <c r="B10" s="3" t="s">
        <v>46</v>
      </c>
      <c r="C10" s="9"/>
      <c r="D10" s="9"/>
      <c r="E10" s="9"/>
      <c r="F10" s="9"/>
      <c r="G10" s="9"/>
      <c r="H10" s="9"/>
      <c r="I10" s="9"/>
      <c r="J10" s="9"/>
      <c r="K10" s="9"/>
      <c r="L10" s="9"/>
      <c r="O10" s="3">
        <v>29549</v>
      </c>
      <c r="P10" s="3">
        <v>32626</v>
      </c>
      <c r="Q10" s="3">
        <v>38415</v>
      </c>
      <c r="R10" s="3">
        <v>23886</v>
      </c>
      <c r="S10" s="3">
        <v>30367</v>
      </c>
      <c r="T10" s="3">
        <v>43578</v>
      </c>
      <c r="U10" s="3">
        <v>47055</v>
      </c>
      <c r="V10" s="3">
        <v>40727</v>
      </c>
      <c r="W10" s="3">
        <v>40718</v>
      </c>
      <c r="X10" s="3">
        <v>33546</v>
      </c>
      <c r="Y10" s="3">
        <v>28044</v>
      </c>
      <c r="Z10" s="3">
        <v>31260</v>
      </c>
      <c r="AA10" s="3">
        <v>36997</v>
      </c>
      <c r="AB10" s="3">
        <v>36630</v>
      </c>
      <c r="AC10" s="3">
        <v>29082</v>
      </c>
      <c r="AD10" s="3">
        <v>35513</v>
      </c>
      <c r="AE10" s="3">
        <v>41350</v>
      </c>
      <c r="AF10" s="3">
        <v>42767</v>
      </c>
      <c r="AG10" s="3">
        <v>40199</v>
      </c>
    </row>
    <row r="11" spans="1:33" s="3" customFormat="1" x14ac:dyDescent="0.25">
      <c r="B11" s="3" t="s">
        <v>48</v>
      </c>
      <c r="C11" s="9"/>
      <c r="D11" s="9"/>
      <c r="E11" s="9"/>
      <c r="F11" s="9"/>
      <c r="G11" s="9"/>
      <c r="H11" s="9"/>
      <c r="I11" s="9"/>
      <c r="J11" s="9"/>
      <c r="K11" s="9"/>
      <c r="L11" s="9"/>
      <c r="O11" s="3">
        <f t="shared" ref="O11:AG11" si="8">+O9-O10</f>
        <v>11968</v>
      </c>
      <c r="P11" s="3">
        <f t="shared" si="8"/>
        <v>12332</v>
      </c>
      <c r="Q11" s="3">
        <f t="shared" si="8"/>
        <v>12909</v>
      </c>
      <c r="R11" s="3">
        <f t="shared" si="8"/>
        <v>8510</v>
      </c>
      <c r="S11" s="3">
        <f t="shared" si="8"/>
        <v>12221</v>
      </c>
      <c r="T11" s="3">
        <f t="shared" si="8"/>
        <v>16560</v>
      </c>
      <c r="U11" s="3">
        <f t="shared" si="8"/>
        <v>18820</v>
      </c>
      <c r="V11" s="3">
        <f t="shared" si="8"/>
        <v>14929</v>
      </c>
      <c r="W11" s="3">
        <f t="shared" si="8"/>
        <v>14466</v>
      </c>
      <c r="X11" s="3">
        <f t="shared" si="8"/>
        <v>13465</v>
      </c>
      <c r="Y11" s="3">
        <f t="shared" si="8"/>
        <v>10493</v>
      </c>
      <c r="Z11" s="3">
        <f t="shared" si="8"/>
        <v>14202</v>
      </c>
      <c r="AA11" s="3">
        <f t="shared" si="8"/>
        <v>17725</v>
      </c>
      <c r="AB11" s="3">
        <f t="shared" si="8"/>
        <v>17170</v>
      </c>
      <c r="AC11" s="3">
        <f t="shared" si="8"/>
        <v>12666</v>
      </c>
      <c r="AD11" s="3">
        <f t="shared" si="8"/>
        <v>15458</v>
      </c>
      <c r="AE11" s="3">
        <f t="shared" si="8"/>
        <v>18077</v>
      </c>
      <c r="AF11" s="3">
        <f t="shared" si="8"/>
        <v>24293</v>
      </c>
      <c r="AG11" s="3">
        <f t="shared" si="8"/>
        <v>24610</v>
      </c>
    </row>
    <row r="12" spans="1:33" x14ac:dyDescent="0.25">
      <c r="B12" s="1" t="s">
        <v>49</v>
      </c>
      <c r="O12" s="3">
        <v>3706</v>
      </c>
      <c r="P12" s="3">
        <v>3821</v>
      </c>
      <c r="Q12" s="3">
        <v>4399</v>
      </c>
      <c r="R12" s="3">
        <v>3645</v>
      </c>
      <c r="S12" s="3">
        <v>4248</v>
      </c>
      <c r="T12" s="3">
        <v>5203</v>
      </c>
      <c r="U12" s="3">
        <v>5919</v>
      </c>
      <c r="V12" s="3">
        <v>5547</v>
      </c>
      <c r="W12" s="3">
        <v>6529</v>
      </c>
      <c r="X12" s="3">
        <v>4951</v>
      </c>
      <c r="Y12" s="3">
        <v>4383</v>
      </c>
      <c r="Z12" s="3">
        <v>4999</v>
      </c>
      <c r="AA12" s="3">
        <v>5478</v>
      </c>
      <c r="AB12" s="3">
        <v>5162</v>
      </c>
      <c r="AC12" s="3">
        <v>4642</v>
      </c>
      <c r="AD12" s="3">
        <v>5365</v>
      </c>
      <c r="AE12" s="3">
        <v>5651</v>
      </c>
      <c r="AF12" s="3">
        <v>6371</v>
      </c>
      <c r="AG12" s="3">
        <v>6667</v>
      </c>
    </row>
    <row r="13" spans="1:33" x14ac:dyDescent="0.25">
      <c r="B13" s="1" t="s">
        <v>50</v>
      </c>
      <c r="O13" s="3">
        <v>1347</v>
      </c>
      <c r="P13" s="3">
        <v>1404</v>
      </c>
      <c r="Q13" s="3">
        <v>1728</v>
      </c>
      <c r="R13" s="3">
        <v>1421</v>
      </c>
      <c r="S13" s="3">
        <v>1905</v>
      </c>
      <c r="T13" s="3">
        <v>2297</v>
      </c>
      <c r="U13" s="3">
        <v>2466</v>
      </c>
      <c r="V13" s="3">
        <v>2046</v>
      </c>
      <c r="W13" s="3">
        <v>2380</v>
      </c>
      <c r="X13" s="3">
        <v>2119</v>
      </c>
      <c r="Y13" s="3">
        <v>1853</v>
      </c>
      <c r="Z13" s="3">
        <v>1842</v>
      </c>
      <c r="AA13" s="3">
        <v>1850</v>
      </c>
      <c r="AB13" s="3">
        <v>1693</v>
      </c>
      <c r="AC13" s="3">
        <v>1415</v>
      </c>
      <c r="AD13" s="3">
        <v>1686</v>
      </c>
      <c r="AE13" s="3">
        <v>1814</v>
      </c>
      <c r="AF13" s="3">
        <v>2108</v>
      </c>
      <c r="AG13" s="3">
        <v>2107</v>
      </c>
    </row>
    <row r="14" spans="1:33" x14ac:dyDescent="0.25">
      <c r="B14" s="1" t="s">
        <v>54</v>
      </c>
      <c r="O14" s="3">
        <f>1023+971</f>
        <v>1994</v>
      </c>
      <c r="P14" s="3">
        <f>1132+1054</f>
        <v>2186</v>
      </c>
      <c r="Q14" s="3">
        <f>1153+1181</f>
        <v>2334</v>
      </c>
      <c r="R14" s="3">
        <f>1045+1822</f>
        <v>2867</v>
      </c>
      <c r="S14" s="3">
        <f>914+1191</f>
        <v>2105</v>
      </c>
      <c r="T14" s="3">
        <f>826+1081</f>
        <v>1907</v>
      </c>
      <c r="U14" s="3">
        <f>797+485</f>
        <v>1282</v>
      </c>
      <c r="V14" s="3">
        <f>727+981</f>
        <v>1708</v>
      </c>
      <c r="W14" s="3">
        <f>624+1619</f>
        <v>2243</v>
      </c>
      <c r="X14" s="3">
        <f>587+2023</f>
        <v>2610</v>
      </c>
      <c r="Y14" s="3">
        <f>596+1904</f>
        <v>2500</v>
      </c>
      <c r="Z14" s="3">
        <f>646+2255</f>
        <v>2901</v>
      </c>
      <c r="AA14" s="3">
        <f>722+1382</f>
        <v>2104</v>
      </c>
      <c r="AB14" s="3">
        <f>754+1271</f>
        <v>2025</v>
      </c>
      <c r="AC14" s="3">
        <f>589+1467</f>
        <v>2056</v>
      </c>
      <c r="AD14" s="3">
        <f>455+1074</f>
        <v>1529</v>
      </c>
      <c r="AE14" s="3">
        <f>565+1218</f>
        <v>1783</v>
      </c>
      <c r="AF14" s="3">
        <f>1030+1818</f>
        <v>2848</v>
      </c>
      <c r="AG14" s="3">
        <f>1286+1478</f>
        <v>2764</v>
      </c>
    </row>
    <row r="15" spans="1:33" x14ac:dyDescent="0.25">
      <c r="B15" s="1" t="s">
        <v>51</v>
      </c>
      <c r="O15" s="3">
        <f t="shared" ref="O15:AE15" si="9">+O14+O13+O12</f>
        <v>7047</v>
      </c>
      <c r="P15" s="3">
        <f t="shared" si="9"/>
        <v>7411</v>
      </c>
      <c r="Q15" s="3">
        <f t="shared" si="9"/>
        <v>8461</v>
      </c>
      <c r="R15" s="3">
        <f t="shared" si="9"/>
        <v>7933</v>
      </c>
      <c r="S15" s="3">
        <f t="shared" si="9"/>
        <v>8258</v>
      </c>
      <c r="T15" s="3">
        <f t="shared" si="9"/>
        <v>9407</v>
      </c>
      <c r="U15" s="3">
        <f t="shared" si="9"/>
        <v>9667</v>
      </c>
      <c r="V15" s="3">
        <f t="shared" si="9"/>
        <v>9301</v>
      </c>
      <c r="W15" s="3">
        <f t="shared" si="9"/>
        <v>11152</v>
      </c>
      <c r="X15" s="3">
        <f t="shared" si="9"/>
        <v>9680</v>
      </c>
      <c r="Y15" s="3">
        <f t="shared" si="9"/>
        <v>8736</v>
      </c>
      <c r="Z15" s="3">
        <f t="shared" si="9"/>
        <v>9742</v>
      </c>
      <c r="AA15" s="3">
        <f t="shared" si="9"/>
        <v>9432</v>
      </c>
      <c r="AB15" s="3">
        <f t="shared" si="9"/>
        <v>8880</v>
      </c>
      <c r="AC15" s="3">
        <f t="shared" si="9"/>
        <v>8113</v>
      </c>
      <c r="AD15" s="3">
        <f t="shared" si="9"/>
        <v>8580</v>
      </c>
      <c r="AE15" s="3">
        <f t="shared" si="9"/>
        <v>9248</v>
      </c>
      <c r="AF15" s="3">
        <f t="shared" ref="AF15:AG15" si="10">+AF14+AF13+AF12</f>
        <v>11327</v>
      </c>
      <c r="AG15" s="3">
        <f t="shared" si="10"/>
        <v>11538</v>
      </c>
    </row>
    <row r="16" spans="1:33" x14ac:dyDescent="0.25">
      <c r="B16" s="1" t="s">
        <v>53</v>
      </c>
      <c r="O16" s="3">
        <f t="shared" ref="O16:AE16" si="11">+O11-O15</f>
        <v>4921</v>
      </c>
      <c r="P16" s="3">
        <f t="shared" si="11"/>
        <v>4921</v>
      </c>
      <c r="Q16" s="3">
        <f t="shared" si="11"/>
        <v>4448</v>
      </c>
      <c r="R16" s="3">
        <f t="shared" si="11"/>
        <v>577</v>
      </c>
      <c r="S16" s="3">
        <f t="shared" si="11"/>
        <v>3963</v>
      </c>
      <c r="T16" s="3">
        <f t="shared" si="11"/>
        <v>7153</v>
      </c>
      <c r="U16" s="3">
        <f t="shared" si="11"/>
        <v>9153</v>
      </c>
      <c r="V16" s="3">
        <f t="shared" si="11"/>
        <v>5628</v>
      </c>
      <c r="W16" s="3">
        <f t="shared" si="11"/>
        <v>3314</v>
      </c>
      <c r="X16" s="3">
        <f t="shared" si="11"/>
        <v>3785</v>
      </c>
      <c r="Y16" s="3">
        <f t="shared" si="11"/>
        <v>1757</v>
      </c>
      <c r="Z16" s="3">
        <f t="shared" si="11"/>
        <v>4460</v>
      </c>
      <c r="AA16" s="3">
        <f t="shared" si="11"/>
        <v>8293</v>
      </c>
      <c r="AB16" s="3">
        <f t="shared" si="11"/>
        <v>8290</v>
      </c>
      <c r="AC16" s="3">
        <f t="shared" si="11"/>
        <v>4553</v>
      </c>
      <c r="AD16" s="3">
        <f t="shared" si="11"/>
        <v>6878</v>
      </c>
      <c r="AE16" s="3">
        <f t="shared" si="11"/>
        <v>8829</v>
      </c>
      <c r="AF16" s="3">
        <f t="shared" ref="AF16:AG16" si="12">+AF11-AF15</f>
        <v>12966</v>
      </c>
      <c r="AG16" s="3">
        <f t="shared" si="12"/>
        <v>13072</v>
      </c>
    </row>
    <row r="17" spans="2:33" s="3" customFormat="1" x14ac:dyDescent="0.25">
      <c r="B17" s="3" t="s">
        <v>52</v>
      </c>
      <c r="C17" s="9"/>
      <c r="D17" s="9"/>
      <c r="E17" s="9"/>
      <c r="F17" s="9"/>
      <c r="G17" s="9"/>
      <c r="H17" s="9"/>
      <c r="I17" s="9"/>
      <c r="J17" s="9"/>
      <c r="K17" s="9"/>
      <c r="L17" s="9"/>
      <c r="O17" s="3">
        <f>-274+214</f>
        <v>-60</v>
      </c>
      <c r="P17" s="3">
        <f>-288+320</f>
        <v>32</v>
      </c>
      <c r="Q17" s="3">
        <f>-274+299</f>
        <v>25</v>
      </c>
      <c r="R17" s="3">
        <f>-389+381</f>
        <v>-8</v>
      </c>
      <c r="S17" s="3">
        <f>-343+130</f>
        <v>-213</v>
      </c>
      <c r="T17" s="3">
        <f>-396-32</f>
        <v>-428</v>
      </c>
      <c r="U17" s="3">
        <f>-467+130</f>
        <v>-337</v>
      </c>
      <c r="V17" s="3">
        <f>-465-35</f>
        <v>-500</v>
      </c>
      <c r="W17" s="3">
        <f>-484+322</f>
        <v>-162</v>
      </c>
      <c r="X17" s="3">
        <f>-507+161</f>
        <v>-346</v>
      </c>
      <c r="Y17" s="3">
        <f>508-518</f>
        <v>-10</v>
      </c>
      <c r="Z17" s="3">
        <f>-531+153</f>
        <v>-378</v>
      </c>
      <c r="AA17" s="3">
        <f>-404-67</f>
        <v>-471</v>
      </c>
      <c r="AB17" s="3">
        <f>-421-57</f>
        <v>-478</v>
      </c>
      <c r="AC17" s="3">
        <f>-514-44</f>
        <v>-558</v>
      </c>
      <c r="AD17" s="3">
        <f>-488+1814</f>
        <v>1326</v>
      </c>
      <c r="AE17" s="3">
        <f>-443+1291</f>
        <v>848</v>
      </c>
      <c r="AF17" s="3">
        <f>-511+595</f>
        <v>84</v>
      </c>
      <c r="AG17" s="3">
        <f>-512+813</f>
        <v>301</v>
      </c>
    </row>
    <row r="18" spans="2:33" x14ac:dyDescent="0.25">
      <c r="B18" s="1" t="s">
        <v>55</v>
      </c>
      <c r="O18" s="3">
        <f t="shared" ref="O18:AG18" si="13">+O16+O17</f>
        <v>4861</v>
      </c>
      <c r="P18" s="3">
        <f t="shared" si="13"/>
        <v>4953</v>
      </c>
      <c r="Q18" s="3">
        <f t="shared" si="13"/>
        <v>4473</v>
      </c>
      <c r="R18" s="3">
        <f t="shared" si="13"/>
        <v>569</v>
      </c>
      <c r="S18" s="3">
        <f t="shared" si="13"/>
        <v>3750</v>
      </c>
      <c r="T18" s="3">
        <f t="shared" si="13"/>
        <v>6725</v>
      </c>
      <c r="U18" s="3">
        <f t="shared" si="13"/>
        <v>8816</v>
      </c>
      <c r="V18" s="3">
        <f t="shared" si="13"/>
        <v>5128</v>
      </c>
      <c r="W18" s="3">
        <f t="shared" si="13"/>
        <v>3152</v>
      </c>
      <c r="X18" s="3">
        <f t="shared" si="13"/>
        <v>3439</v>
      </c>
      <c r="Y18" s="3">
        <f t="shared" si="13"/>
        <v>1747</v>
      </c>
      <c r="Z18" s="3">
        <f t="shared" si="13"/>
        <v>4082</v>
      </c>
      <c r="AA18" s="3">
        <f t="shared" si="13"/>
        <v>7822</v>
      </c>
      <c r="AB18" s="3">
        <f t="shared" si="13"/>
        <v>7812</v>
      </c>
      <c r="AC18" s="3">
        <f t="shared" si="13"/>
        <v>3995</v>
      </c>
      <c r="AD18" s="3">
        <f t="shared" si="13"/>
        <v>8204</v>
      </c>
      <c r="AE18" s="3">
        <f t="shared" si="13"/>
        <v>9677</v>
      </c>
      <c r="AF18" s="3">
        <f t="shared" si="13"/>
        <v>13050</v>
      </c>
      <c r="AG18" s="3">
        <f t="shared" si="13"/>
        <v>13373</v>
      </c>
    </row>
    <row r="19" spans="2:33" x14ac:dyDescent="0.25">
      <c r="B19" s="1" t="s">
        <v>56</v>
      </c>
      <c r="O19" s="3">
        <v>1405</v>
      </c>
      <c r="P19" s="3">
        <v>1485</v>
      </c>
      <c r="Q19" s="3">
        <v>953</v>
      </c>
      <c r="R19" s="3">
        <v>0</v>
      </c>
      <c r="S19" s="3">
        <v>968</v>
      </c>
      <c r="T19" s="3">
        <v>1720</v>
      </c>
      <c r="U19" s="3">
        <v>2528</v>
      </c>
      <c r="V19" s="3">
        <v>1319</v>
      </c>
      <c r="W19" s="3">
        <v>692</v>
      </c>
      <c r="X19" s="3">
        <v>916</v>
      </c>
      <c r="Y19" s="3">
        <v>192</v>
      </c>
      <c r="Z19" s="3">
        <v>3339</v>
      </c>
      <c r="AA19" s="3">
        <v>1698</v>
      </c>
      <c r="AB19" s="3">
        <v>1746</v>
      </c>
      <c r="AC19" s="3">
        <v>1006</v>
      </c>
      <c r="AD19" s="3">
        <v>1742</v>
      </c>
      <c r="AE19" s="3">
        <v>2067</v>
      </c>
      <c r="AF19" s="3">
        <v>2781</v>
      </c>
      <c r="AG19" s="3">
        <v>2629</v>
      </c>
    </row>
    <row r="20" spans="2:33" x14ac:dyDescent="0.25">
      <c r="B20" s="1" t="s">
        <v>57</v>
      </c>
      <c r="O20" s="3">
        <f t="shared" ref="O20:AG20" si="14">+O18-O19</f>
        <v>3456</v>
      </c>
      <c r="P20" s="3">
        <f t="shared" si="14"/>
        <v>3468</v>
      </c>
      <c r="Q20" s="3">
        <f t="shared" si="14"/>
        <v>3520</v>
      </c>
      <c r="R20" s="3">
        <f t="shared" si="14"/>
        <v>569</v>
      </c>
      <c r="S20" s="3">
        <f t="shared" si="14"/>
        <v>2782</v>
      </c>
      <c r="T20" s="3">
        <f t="shared" si="14"/>
        <v>5005</v>
      </c>
      <c r="U20" s="3">
        <f t="shared" si="14"/>
        <v>6288</v>
      </c>
      <c r="V20" s="3">
        <f t="shared" si="14"/>
        <v>3809</v>
      </c>
      <c r="W20" s="3">
        <f t="shared" si="14"/>
        <v>2460</v>
      </c>
      <c r="X20" s="3">
        <f t="shared" si="14"/>
        <v>2523</v>
      </c>
      <c r="Y20" s="3">
        <f t="shared" si="14"/>
        <v>1555</v>
      </c>
      <c r="Z20" s="3">
        <f t="shared" si="14"/>
        <v>743</v>
      </c>
      <c r="AA20" s="3">
        <f t="shared" si="14"/>
        <v>6124</v>
      </c>
      <c r="AB20" s="3">
        <f t="shared" si="14"/>
        <v>6066</v>
      </c>
      <c r="AC20" s="3">
        <f t="shared" si="14"/>
        <v>2989</v>
      </c>
      <c r="AD20" s="3">
        <f t="shared" si="14"/>
        <v>6462</v>
      </c>
      <c r="AE20" s="3">
        <f t="shared" si="14"/>
        <v>7610</v>
      </c>
      <c r="AF20" s="3">
        <f t="shared" si="14"/>
        <v>10269</v>
      </c>
      <c r="AG20" s="3">
        <f t="shared" si="14"/>
        <v>10744</v>
      </c>
    </row>
    <row r="21" spans="2:33" x14ac:dyDescent="0.25">
      <c r="B21" s="1" t="s">
        <v>58</v>
      </c>
      <c r="O21" s="2">
        <f t="shared" ref="O21:AE21" si="15">+O20/O22</f>
        <v>5.0541093887101498</v>
      </c>
      <c r="P21" s="2">
        <f t="shared" si="15"/>
        <v>5.2585291887793781</v>
      </c>
      <c r="Q21" s="2">
        <f t="shared" si="15"/>
        <v>5.6059882146838671</v>
      </c>
      <c r="R21" s="2">
        <f t="shared" si="15"/>
        <v>0.90894568690095845</v>
      </c>
      <c r="S21" s="2">
        <f t="shared" si="15"/>
        <v>4.2773677736777369</v>
      </c>
      <c r="T21" s="2">
        <f t="shared" si="15"/>
        <v>7.5138868037832154</v>
      </c>
      <c r="U21" s="2">
        <f t="shared" si="15"/>
        <v>9.3906810035842287</v>
      </c>
      <c r="V21" s="2">
        <f t="shared" si="15"/>
        <v>5.7834801093228059</v>
      </c>
      <c r="W21" s="2">
        <f t="shared" si="15"/>
        <v>3.9115916679917317</v>
      </c>
      <c r="X21" s="2">
        <f t="shared" si="15"/>
        <v>4.1959088641277233</v>
      </c>
      <c r="Y21" s="2">
        <f t="shared" si="15"/>
        <v>2.6613041245935309</v>
      </c>
      <c r="Z21" s="2">
        <f t="shared" si="15"/>
        <v>1.2397797430335393</v>
      </c>
      <c r="AA21" s="2">
        <f t="shared" si="15"/>
        <v>10.216883550216885</v>
      </c>
      <c r="AB21" s="2">
        <f t="shared" si="15"/>
        <v>10.688986784140969</v>
      </c>
      <c r="AC21" s="2">
        <f t="shared" si="15"/>
        <v>5.448414145096609</v>
      </c>
      <c r="AD21" s="2">
        <f t="shared" si="15"/>
        <v>11.781221513217867</v>
      </c>
      <c r="AE21" s="2">
        <f t="shared" si="15"/>
        <v>14.347662141779789</v>
      </c>
      <c r="AF21" s="2">
        <f t="shared" ref="AF21:AG21" si="16">+AF20/AF22</f>
        <v>19.99415887850467</v>
      </c>
      <c r="AG21" s="2">
        <f t="shared" si="16"/>
        <v>21.953412341642828</v>
      </c>
    </row>
    <row r="22" spans="2:33" x14ac:dyDescent="0.25">
      <c r="B22" s="1" t="s">
        <v>1</v>
      </c>
      <c r="O22" s="3">
        <v>683.8</v>
      </c>
      <c r="P22" s="3">
        <v>659.5</v>
      </c>
      <c r="Q22" s="3">
        <v>627.9</v>
      </c>
      <c r="R22" s="3">
        <v>626</v>
      </c>
      <c r="S22" s="3">
        <v>650.4</v>
      </c>
      <c r="T22" s="3">
        <v>666.1</v>
      </c>
      <c r="U22" s="3">
        <v>669.6</v>
      </c>
      <c r="V22" s="3">
        <v>658.6</v>
      </c>
      <c r="W22" s="3">
        <v>628.9</v>
      </c>
      <c r="X22" s="3">
        <v>601.29999999999995</v>
      </c>
      <c r="Y22" s="3">
        <v>584.29999999999995</v>
      </c>
      <c r="Z22" s="3">
        <v>599.29999999999995</v>
      </c>
      <c r="AA22" s="3">
        <v>599.4</v>
      </c>
      <c r="AB22" s="3">
        <v>567.5</v>
      </c>
      <c r="AC22" s="3">
        <v>548.6</v>
      </c>
      <c r="AD22" s="3">
        <v>548.5</v>
      </c>
      <c r="AE22" s="3">
        <v>530.4</v>
      </c>
      <c r="AF22" s="3">
        <v>513.6</v>
      </c>
      <c r="AG22" s="3">
        <v>489.4</v>
      </c>
    </row>
    <row r="25" spans="2:33" x14ac:dyDescent="0.25">
      <c r="B25" s="1" t="s">
        <v>47</v>
      </c>
      <c r="O25" s="6">
        <f t="shared" ref="O25:AG25" si="17">O11/O9</f>
        <v>0.28826745670448251</v>
      </c>
      <c r="P25" s="6">
        <f t="shared" si="17"/>
        <v>0.27430045820543619</v>
      </c>
      <c r="Q25" s="6">
        <f t="shared" si="17"/>
        <v>0.25151975683890576</v>
      </c>
      <c r="R25" s="6">
        <f t="shared" si="17"/>
        <v>0.2626867514507964</v>
      </c>
      <c r="S25" s="6">
        <f t="shared" si="17"/>
        <v>0.2869587677279985</v>
      </c>
      <c r="T25" s="6">
        <f t="shared" si="17"/>
        <v>0.27536665668961391</v>
      </c>
      <c r="U25" s="6">
        <f t="shared" si="17"/>
        <v>0.28569259962049337</v>
      </c>
      <c r="V25" s="6">
        <f t="shared" si="17"/>
        <v>0.26823702745436251</v>
      </c>
      <c r="W25" s="6">
        <f t="shared" si="17"/>
        <v>0.26214120034792693</v>
      </c>
      <c r="X25" s="6">
        <f t="shared" si="17"/>
        <v>0.28642232668949819</v>
      </c>
      <c r="Y25" s="6">
        <f t="shared" si="17"/>
        <v>0.27228377922516023</v>
      </c>
      <c r="Z25" s="6">
        <f t="shared" si="17"/>
        <v>0.31239276758611589</v>
      </c>
      <c r="AA25" s="6">
        <f t="shared" si="17"/>
        <v>0.32390994481195862</v>
      </c>
      <c r="AB25" s="6">
        <f t="shared" si="17"/>
        <v>0.31914498141263942</v>
      </c>
      <c r="AC25" s="6">
        <f t="shared" si="17"/>
        <v>0.30339177924691002</v>
      </c>
      <c r="AD25" s="6">
        <f t="shared" si="17"/>
        <v>0.30327048713974614</v>
      </c>
      <c r="AE25" s="6">
        <f t="shared" si="17"/>
        <v>0.30418833190300704</v>
      </c>
      <c r="AF25" s="6">
        <f t="shared" si="17"/>
        <v>0.36225767968983003</v>
      </c>
      <c r="AG25" s="6">
        <f t="shared" si="17"/>
        <v>0.3797312101714268</v>
      </c>
    </row>
    <row r="28" spans="2:33" s="3" customFormat="1" x14ac:dyDescent="0.25">
      <c r="B28" s="3" t="s">
        <v>60</v>
      </c>
      <c r="C28" s="9"/>
      <c r="D28" s="9"/>
      <c r="E28" s="9"/>
      <c r="F28" s="9"/>
      <c r="G28" s="9"/>
      <c r="H28" s="9"/>
      <c r="I28" s="9"/>
      <c r="J28" s="9"/>
      <c r="K28" s="9"/>
      <c r="L28" s="9"/>
      <c r="O28" s="3">
        <v>5799</v>
      </c>
      <c r="P28" s="3">
        <v>7935</v>
      </c>
      <c r="Q28" s="3">
        <v>4787</v>
      </c>
      <c r="R28" s="3">
        <v>6343</v>
      </c>
      <c r="S28" s="3">
        <v>5009</v>
      </c>
      <c r="T28" s="3">
        <v>7010</v>
      </c>
      <c r="U28" s="3">
        <v>5241</v>
      </c>
      <c r="V28" s="3">
        <v>10191</v>
      </c>
      <c r="W28" s="3">
        <v>8057</v>
      </c>
      <c r="X28" s="3">
        <v>6699</v>
      </c>
      <c r="Y28" s="3">
        <v>5639</v>
      </c>
      <c r="Z28" s="3">
        <v>5706</v>
      </c>
      <c r="AA28" s="3">
        <v>6558</v>
      </c>
      <c r="AB28" s="3">
        <v>6912</v>
      </c>
      <c r="AC28" s="3">
        <v>6327</v>
      </c>
      <c r="AD28" s="3">
        <v>7198</v>
      </c>
      <c r="AE28" s="3">
        <v>7766</v>
      </c>
      <c r="AF28" s="3">
        <v>12885</v>
      </c>
      <c r="AG28" s="3">
        <v>12035</v>
      </c>
    </row>
    <row r="29" spans="2:33" s="3" customFormat="1" x14ac:dyDescent="0.25">
      <c r="B29" s="3" t="s">
        <v>61</v>
      </c>
      <c r="C29" s="9"/>
      <c r="D29" s="9"/>
      <c r="E29" s="9"/>
      <c r="F29" s="9"/>
      <c r="G29" s="9"/>
      <c r="H29" s="9"/>
      <c r="I29" s="9"/>
      <c r="J29" s="9"/>
      <c r="K29" s="9"/>
      <c r="L29" s="9"/>
      <c r="O29" s="3">
        <v>1593</v>
      </c>
      <c r="P29" s="3">
        <v>1700</v>
      </c>
      <c r="Q29" s="3">
        <v>2445</v>
      </c>
      <c r="R29" s="3">
        <v>1348</v>
      </c>
      <c r="S29" s="3">
        <v>1575</v>
      </c>
      <c r="T29" s="3">
        <v>2515</v>
      </c>
      <c r="U29" s="3">
        <v>3350</v>
      </c>
      <c r="V29" s="3">
        <v>2522</v>
      </c>
      <c r="W29" s="3">
        <v>1539</v>
      </c>
      <c r="X29" s="3">
        <v>1388</v>
      </c>
      <c r="Y29" s="3">
        <v>1109</v>
      </c>
      <c r="Z29" s="3">
        <v>898</v>
      </c>
      <c r="AA29" s="3">
        <v>1276</v>
      </c>
      <c r="AB29" s="3">
        <v>1056</v>
      </c>
      <c r="AC29" s="3">
        <v>978</v>
      </c>
      <c r="AD29" s="3">
        <v>1093</v>
      </c>
      <c r="AE29" s="3">
        <v>1296</v>
      </c>
      <c r="AF29" s="3">
        <v>1597</v>
      </c>
      <c r="AG29" s="3">
        <v>1988</v>
      </c>
    </row>
    <row r="30" spans="2:33" s="3" customFormat="1" x14ac:dyDescent="0.25">
      <c r="B30" s="3" t="s">
        <v>62</v>
      </c>
      <c r="C30" s="9"/>
      <c r="D30" s="9"/>
      <c r="E30" s="9"/>
      <c r="F30" s="9"/>
      <c r="G30" s="9"/>
      <c r="H30" s="9"/>
      <c r="I30" s="9"/>
      <c r="J30" s="9"/>
      <c r="K30" s="9"/>
      <c r="L30" s="9"/>
      <c r="O30" s="3">
        <f t="shared" ref="O30:AG30" si="18">+O28-O29</f>
        <v>4206</v>
      </c>
      <c r="P30" s="3">
        <f t="shared" si="18"/>
        <v>6235</v>
      </c>
      <c r="Q30" s="3">
        <f t="shared" si="18"/>
        <v>2342</v>
      </c>
      <c r="R30" s="3">
        <f t="shared" si="18"/>
        <v>4995</v>
      </c>
      <c r="S30" s="3">
        <f t="shared" si="18"/>
        <v>3434</v>
      </c>
      <c r="T30" s="3">
        <f t="shared" si="18"/>
        <v>4495</v>
      </c>
      <c r="U30" s="3">
        <f t="shared" si="18"/>
        <v>1891</v>
      </c>
      <c r="V30" s="3">
        <f t="shared" si="18"/>
        <v>7669</v>
      </c>
      <c r="W30" s="3">
        <f t="shared" si="18"/>
        <v>6518</v>
      </c>
      <c r="X30" s="3">
        <f t="shared" si="18"/>
        <v>5311</v>
      </c>
      <c r="Y30" s="3">
        <f t="shared" si="18"/>
        <v>4530</v>
      </c>
      <c r="Z30" s="3">
        <f t="shared" si="18"/>
        <v>4808</v>
      </c>
      <c r="AA30" s="3">
        <f t="shared" si="18"/>
        <v>5282</v>
      </c>
      <c r="AB30" s="3">
        <f t="shared" si="18"/>
        <v>5856</v>
      </c>
      <c r="AC30" s="3">
        <f t="shared" si="18"/>
        <v>5349</v>
      </c>
      <c r="AD30" s="3">
        <f t="shared" si="18"/>
        <v>6105</v>
      </c>
      <c r="AE30" s="3">
        <f t="shared" si="18"/>
        <v>6470</v>
      </c>
      <c r="AF30" s="3">
        <f t="shared" si="18"/>
        <v>11288</v>
      </c>
      <c r="AG30" s="3">
        <f t="shared" si="18"/>
        <v>10047</v>
      </c>
    </row>
  </sheetData>
  <hyperlinks>
    <hyperlink ref="A1" location="Main!A1" display="Main" xr:uid="{A1C05840-8CA3-41C8-90A5-A89B0CE07A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2025-03-31T13:32:05Z</dcterms:created>
  <dcterms:modified xsi:type="dcterms:W3CDTF">2026-08-20T20:21:22Z</dcterms:modified>
</cp:coreProperties>
</file>